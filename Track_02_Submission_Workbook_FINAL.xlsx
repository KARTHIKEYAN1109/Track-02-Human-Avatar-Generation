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START" sheetId="1" state="visible" r:id="rId1"/>
    <sheet name="01_DELIVERABLES" sheetId="2" state="visible" r:id="rId2"/>
    <sheet name="02_COMPONENTS" sheetId="3" state="visible" r:id="rId3"/>
    <sheet name="03_TEST_EVIDENCE" sheetId="4" state="visible" r:id="rId4"/>
    <sheet name="04_TRACK_CRITERIA" sheetId="5" state="visible" r:id="rId5"/>
    <sheet name="05_REVIEW_RESULT" sheetId="6" state="visible" r:id="rId6"/>
    <sheet name="06_LIVE_VALIDATION" sheetId="7" state="visible" r:id="rId7"/>
    <sheet name="07_BATCH_MODERATION" sheetId="8" state="visible" r:id="rId8"/>
  </sheets>
  <definedNames/>
</workbook>
</file>

<file path=xl/styles.xml><?xml version="1.0" encoding="utf-8"?>
<styleSheet xmlns="http://schemas.openxmlformats.org/spreadsheetml/2006/main">
  <numFmts count="3">
    <numFmt numFmtId="164" formatCode="yyyy-mm-dd"/>
    <numFmt numFmtId="165" formatCode="0.0"/>
    <numFmt numFmtId="166" formatCode="0.000"/>
  </numFmts>
  <fonts count="7">
    <font>
      <name val="Carlito"/>
      <sz val="11"/>
    </font>
    <font>
      <name val="Carlito"/>
      <b val="1"/>
      <color rgb="FFFFFFFF"/>
      <sz val="17"/>
    </font>
    <font>
      <name val="Carlito"/>
      <i val="1"/>
      <color rgb="FFFFFFFF"/>
      <sz val="10"/>
    </font>
    <font>
      <name val="Carlito"/>
      <b val="1"/>
      <color rgb="FFFFFFFF"/>
      <sz val="11"/>
    </font>
    <font>
      <name val="Carlito"/>
      <b val="1"/>
      <color rgb="FF14212B"/>
      <sz val="11"/>
    </font>
    <font>
      <name val="Carlito"/>
      <color rgb="FF14212B"/>
      <sz val="9"/>
    </font>
    <font>
      <name val="Carlito"/>
      <b val="1"/>
      <sz val="11"/>
    </font>
  </fonts>
  <fills count="11">
    <fill>
      <patternFill/>
    </fill>
    <fill>
      <patternFill patternType="gray125"/>
    </fill>
    <fill>
      <patternFill patternType="solid">
        <fgColor rgb="FF0B1B2B"/>
      </patternFill>
    </fill>
    <fill>
      <patternFill patternType="solid">
        <fgColor rgb="FF008F8A"/>
      </patternFill>
    </fill>
    <fill>
      <patternFill patternType="solid">
        <fgColor rgb="FF12324D"/>
      </patternFill>
    </fill>
    <fill>
      <patternFill patternType="solid">
        <fgColor rgb="FFF3F5F7"/>
      </patternFill>
    </fill>
    <fill>
      <patternFill patternType="solid">
        <fgColor rgb="FFFFF4C7"/>
      </patternFill>
    </fill>
    <fill>
      <patternFill patternType="solid">
        <fgColor rgb="FFE7F5F3"/>
      </patternFill>
    </fill>
    <fill>
      <patternFill patternType="solid">
        <fgColor rgb="FFFFFFFF"/>
      </patternFill>
    </fill>
    <fill>
      <patternFill patternType="solid">
        <fgColor rgb="FFEAF2F8"/>
      </patternFill>
    </fill>
    <fill>
      <patternFill patternType="solid">
        <fgColor rgb="FFFCE8E6"/>
      </patternFill>
    </fill>
  </fills>
  <borders count="11">
    <border/>
    <border>
      <left style="thin">
        <color rgb="FFD7E0E6"/>
      </left>
      <right style="thin">
        <color rgb="FFD7E0E6"/>
      </right>
      <top style="thin">
        <color rgb="FFD7E0E6"/>
      </top>
      <bottom style="thin">
        <color rgb="FFD7E0E6"/>
      </bottom>
    </border>
    <border>
      <top style="thin">
        <color rgb="FFD7E0E6"/>
      </top>
    </border>
    <border>
      <right style="thin">
        <color rgb="FFD7E0E6"/>
      </right>
      <top style="thin">
        <color rgb="FFD7E0E6"/>
      </top>
    </border>
    <border>
      <top style="thin">
        <color rgb="FFD7E0E6"/>
      </top>
      <bottom style="thin">
        <color rgb="FFD7E0E6"/>
      </bottom>
    </border>
    <border>
      <right style="thin">
        <color rgb="FFD7E0E6"/>
      </right>
      <top style="thin">
        <color rgb="FFD7E0E6"/>
      </top>
      <bottom style="thin">
        <color rgb="FFD7E0E6"/>
      </bottom>
    </border>
    <border>
      <left style="thin">
        <color rgb="FFD7E0E6"/>
      </left>
    </border>
    <border>
      <right style="thin">
        <color rgb="FFD7E0E6"/>
      </right>
    </border>
    <border>
      <left style="thin">
        <color rgb="FFD7E0E6"/>
      </left>
      <bottom style="thin">
        <color rgb="FFD7E0E6"/>
      </bottom>
    </border>
    <border>
      <bottom style="thin">
        <color rgb="FFD7E0E6"/>
      </bottom>
    </border>
    <border>
      <right style="thin">
        <color rgb="FFD7E0E6"/>
      </right>
      <bottom style="thin">
        <color rgb="FFD7E0E6"/>
      </bottom>
    </border>
  </borders>
  <cellStyleXfs count="1">
    <xf numFmtId="0" fontId="0" fillId="0" borderId="0"/>
  </cellStyleXfs>
  <cellXfs count="8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5" borderId="0" pivotButton="0" quotePrefix="0" xfId="0"/>
    <xf numFmtId="0" fontId="4" fillId="5" borderId="0" pivotButton="0" quotePrefix="0" xfId="0"/>
    <xf numFmtId="0" fontId="4" fillId="5" borderId="1" pivotButton="0" quotePrefix="0" xfId="0"/>
    <xf numFmtId="0" fontId="4" fillId="5" borderId="1" applyAlignment="1" pivotButton="0" quotePrefix="0" xfId="0">
      <alignment wrapText="1"/>
    </xf>
    <xf numFmtId="0" fontId="0" fillId="6" borderId="0" pivotButton="0" quotePrefix="0" xfId="0"/>
    <xf numFmtId="0" fontId="5" fillId="6" borderId="0" pivotButton="0" quotePrefix="0" xfId="0"/>
    <xf numFmtId="0" fontId="5" fillId="6" borderId="1" pivotButton="0" quotePrefix="0" xfId="0"/>
    <xf numFmtId="0" fontId="5" fillId="6" borderId="1" applyAlignment="1" pivotButton="0" quotePrefix="0" xfId="0">
      <alignment wrapText="1"/>
    </xf>
    <xf numFmtId="0" fontId="5" fillId="6" borderId="1" applyAlignment="1" pivotButton="0" quotePrefix="0" xfId="0">
      <alignment vertical="top" wrapText="1"/>
    </xf>
    <xf numFmtId="0" fontId="0" fillId="7" borderId="0" pivotButton="0" quotePrefix="0" xfId="0"/>
    <xf numFmtId="0" fontId="5" fillId="7" borderId="0" pivotButton="0" quotePrefix="0" xfId="0"/>
    <xf numFmtId="0" fontId="5" fillId="7" borderId="1" pivotButton="0" quotePrefix="0" xfId="0"/>
    <xf numFmtId="0" fontId="5" fillId="7" borderId="1" applyAlignment="1" pivotButton="0" quotePrefix="0" xfId="0">
      <alignment wrapText="1"/>
    </xf>
    <xf numFmtId="0" fontId="5" fillId="7" borderId="1" applyAlignment="1" pivotButton="0" quotePrefix="0" xfId="0">
      <alignment vertical="top" wrapText="1"/>
    </xf>
    <xf numFmtId="164" fontId="5" fillId="6" borderId="1" applyAlignment="1" pivotButton="0" quotePrefix="0" xfId="0">
      <alignment vertical="top" wrapText="1"/>
    </xf>
    <xf numFmtId="0" fontId="3" fillId="3" borderId="0" pivotButton="0" quotePrefix="0" xfId="0"/>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vertical="center"/>
    </xf>
    <xf numFmtId="0" fontId="0" fillId="8" borderId="0" pivotButton="0" quotePrefix="0" xfId="0"/>
    <xf numFmtId="0" fontId="5" fillId="8" borderId="0" pivotButton="0" quotePrefix="0" xfId="0"/>
    <xf numFmtId="0" fontId="5" fillId="8" borderId="1" pivotButton="0" quotePrefix="0" xfId="0"/>
    <xf numFmtId="0" fontId="5" fillId="8" borderId="1" applyAlignment="1" pivotButton="0" quotePrefix="0" xfId="0">
      <alignment wrapText="1"/>
    </xf>
    <xf numFmtId="0" fontId="5" fillId="8" borderId="1" applyAlignment="1" pivotButton="0" quotePrefix="0" xfId="0">
      <alignment vertical="top" wrapText="1"/>
    </xf>
    <xf numFmtId="0" fontId="3" fillId="4" borderId="1" pivotButton="0" quotePrefix="0" xfId="0"/>
    <xf numFmtId="0" fontId="3" fillId="4" borderId="1" applyAlignment="1" pivotButton="0" quotePrefix="0" xfId="0">
      <alignment wrapText="1"/>
    </xf>
    <xf numFmtId="0" fontId="3" fillId="4" borderId="1" applyAlignment="1" pivotButton="0" quotePrefix="0" xfId="0">
      <alignment vertical="center" wrapText="1"/>
    </xf>
    <xf numFmtId="0" fontId="4" fillId="6" borderId="0" pivotButton="0" quotePrefix="0" xfId="0"/>
    <xf numFmtId="0" fontId="4" fillId="6" borderId="1" pivotButton="0" quotePrefix="0" xfId="0"/>
    <xf numFmtId="0" fontId="4" fillId="6" borderId="1" applyAlignment="1" pivotButton="0" quotePrefix="0" xfId="0">
      <alignment wrapText="1"/>
    </xf>
    <xf numFmtId="0" fontId="4" fillId="6" borderId="1" applyAlignment="1" pivotButton="0" quotePrefix="0" xfId="0">
      <alignment vertical="center" wrapText="1"/>
    </xf>
    <xf numFmtId="0" fontId="6" fillId="5" borderId="0" pivotButton="0" quotePrefix="0" xfId="0"/>
    <xf numFmtId="0" fontId="6" fillId="5" borderId="1" pivotButton="0" quotePrefix="0" xfId="0"/>
    <xf numFmtId="0" fontId="0" fillId="9" borderId="0" pivotButton="0" quotePrefix="0" xfId="0"/>
    <xf numFmtId="0" fontId="5" fillId="9" borderId="0" pivotButton="0" quotePrefix="0" xfId="0"/>
    <xf numFmtId="0" fontId="5" fillId="9" borderId="1" pivotButton="0" quotePrefix="0" xfId="0"/>
    <xf numFmtId="0" fontId="5" fillId="9" borderId="1" applyAlignment="1" pivotButton="0" quotePrefix="0" xfId="0">
      <alignment wrapText="1"/>
    </xf>
    <xf numFmtId="0" fontId="5" fillId="9" borderId="1" applyAlignment="1" pivotButton="0" quotePrefix="0" xfId="0">
      <alignment vertical="top" wrapText="1"/>
    </xf>
    <xf numFmtId="165" fontId="5" fillId="6" borderId="1" applyAlignment="1" pivotButton="0" quotePrefix="0" xfId="0">
      <alignment vertical="top" wrapText="1"/>
    </xf>
    <xf numFmtId="0" fontId="4" fillId="7" borderId="0" pivotButton="0" quotePrefix="0" xfId="0"/>
    <xf numFmtId="0" fontId="4" fillId="7" borderId="1" pivotButton="0" quotePrefix="0" xfId="0"/>
    <xf numFmtId="0" fontId="4" fillId="7" borderId="1" applyAlignment="1" pivotButton="0" quotePrefix="0" xfId="0">
      <alignment wrapText="1"/>
    </xf>
    <xf numFmtId="166" fontId="5" fillId="6" borderId="1" applyAlignment="1" pivotButton="0" quotePrefix="0" xfId="0">
      <alignment vertical="top" wrapText="1"/>
    </xf>
    <xf numFmtId="0" fontId="4" fillId="9" borderId="0" pivotButton="0" quotePrefix="0" xfId="0"/>
    <xf numFmtId="0" fontId="4" fillId="9" borderId="1" pivotButton="0" quotePrefix="0" xfId="0"/>
    <xf numFmtId="0" fontId="4" fillId="9" borderId="1" applyAlignment="1" pivotButton="0" quotePrefix="0" xfId="0">
      <alignment wrapText="1"/>
    </xf>
    <xf numFmtId="0" fontId="3" fillId="4" borderId="1" applyAlignment="1" pivotButton="0" quotePrefix="0" xfId="0">
      <alignment horizontal="center"/>
    </xf>
    <xf numFmtId="0" fontId="3" fillId="4" borderId="1" applyAlignment="1" pivotButton="0" quotePrefix="0" xfId="0">
      <alignment horizontal="center" vertical="center"/>
    </xf>
    <xf numFmtId="0" fontId="4" fillId="7" borderId="1" applyAlignment="1" pivotButton="0" quotePrefix="0" xfId="0">
      <alignment vertical="center" wrapText="1"/>
    </xf>
    <xf numFmtId="0" fontId="0" fillId="10" borderId="0" pivotButton="0" quotePrefix="0" xfId="0"/>
    <xf numFmtId="0" fontId="4" fillId="10" borderId="0" pivotButton="0" quotePrefix="0" xfId="0"/>
    <xf numFmtId="0" fontId="4" fillId="10" borderId="1" pivotButton="0" quotePrefix="0" xfId="0"/>
    <xf numFmtId="0" fontId="4" fillId="10" borderId="1" applyAlignment="1" pivotButton="0" quotePrefix="0" xfId="0">
      <alignment wrapText="1"/>
    </xf>
    <xf numFmtId="0" fontId="4" fillId="10" borderId="1" applyAlignment="1" pivotButton="0" quotePrefix="0" xfId="0">
      <alignment vertical="center" wrapText="1"/>
    </xf>
    <xf numFmtId="0" fontId="5" fillId="5" borderId="0" pivotButton="0" quotePrefix="0" xfId="0"/>
    <xf numFmtId="0" fontId="5" fillId="5" borderId="1" pivotButton="0" quotePrefix="0" xfId="0"/>
    <xf numFmtId="0" fontId="5" fillId="5" borderId="1" applyAlignment="1" pivotButton="0" quotePrefix="0" xfId="0">
      <alignment wrapText="1"/>
    </xf>
    <xf numFmtId="0" fontId="5" fillId="5" borderId="1" applyAlignment="1" pivotButton="0" quotePrefix="0" xfId="0">
      <alignment vertical="center" wrapText="1"/>
    </xf>
    <xf numFmtId="0" fontId="5" fillId="5" borderId="1" applyAlignment="1" pivotButton="0" quotePrefix="0" xfId="0">
      <alignment vertical="top" wrapText="1"/>
    </xf>
    <xf numFmtId="0" fontId="0" fillId="0" borderId="4" pivotButton="0" quotePrefix="0" xfId="0"/>
    <xf numFmtId="0" fontId="0" fillId="0" borderId="5" pivotButton="0" quotePrefix="0" xfId="0"/>
    <xf numFmtId="164" fontId="5" fillId="6"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7" pivotButton="0" quotePrefix="0" xfId="0"/>
    <xf numFmtId="165" fontId="5" fillId="6" borderId="1" applyAlignment="1" pivotButton="0" quotePrefix="0" xfId="0">
      <alignment vertical="top" wrapText="1"/>
    </xf>
    <xf numFmtId="166" fontId="5" fillId="6"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18" customWidth="1" min="1" max="1"/>
    <col width="14" customWidth="1" min="2" max="2"/>
    <col width="14" customWidth="1" min="3" max="3"/>
    <col width="14" customWidth="1" min="4" max="4"/>
    <col width="22" customWidth="1" min="5" max="5"/>
    <col width="16" customWidth="1" min="6" max="6"/>
    <col width="18" customWidth="1" min="7" max="7"/>
    <col width="18" customWidth="1" min="8" max="8"/>
  </cols>
  <sheetData>
    <row r="1" ht="34" customHeight="1">
      <c r="A1" s="3" t="inlineStr">
        <is>
          <t>IncuBrix | Track 02 Assessment Workbook</t>
        </is>
      </c>
    </row>
    <row r="2" ht="28" customHeight="1">
      <c r="A2" s="7" t="inlineStr">
        <is>
          <t>Open-Source AI Human-Avatar Generation | Yellow = candidate | Blue = reviewer | Green = calculated</t>
        </is>
      </c>
    </row>
    <row r="4" ht="23" customHeight="1">
      <c r="A4" s="10" t="inlineStr">
        <is>
          <t>Candidate and Submission Details</t>
        </is>
      </c>
    </row>
    <row r="5">
      <c r="A5" s="14" t="inlineStr">
        <is>
          <t>Candidate ID</t>
        </is>
      </c>
      <c r="B5" s="19" t="inlineStr">
        <is>
          <t>127014023</t>
        </is>
      </c>
      <c r="C5" s="70" t="n"/>
      <c r="D5" s="71" t="n"/>
      <c r="E5" s="14" t="inlineStr">
        <is>
          <t>Assigned track</t>
        </is>
      </c>
      <c r="F5" s="24" t="inlineStr">
        <is>
          <t>Track 02 - Human Avatar Generation</t>
        </is>
      </c>
      <c r="G5" s="70" t="n"/>
      <c r="H5" s="71" t="n"/>
    </row>
    <row r="6">
      <c r="A6" s="14" t="inlineStr">
        <is>
          <t>Candidate name</t>
        </is>
      </c>
      <c r="B6" s="19" t="inlineStr">
        <is>
          <t>Karthikeyan J</t>
        </is>
      </c>
      <c r="C6" s="70" t="n"/>
      <c r="D6" s="71" t="n"/>
      <c r="E6" s="14" t="inlineStr">
        <is>
          <t>Candidate email</t>
        </is>
      </c>
      <c r="F6" s="19" t="inlineStr">
        <is>
          <t>127014023@sastra.ac.in</t>
        </is>
      </c>
      <c r="G6" s="70" t="n"/>
      <c r="H6" s="71" t="n"/>
    </row>
    <row r="7">
      <c r="A7" s="14" t="inlineStr">
        <is>
          <t>Submission date</t>
        </is>
      </c>
      <c r="B7" s="72" t="inlineStr">
        <is>
          <t>11 September 2026</t>
        </is>
      </c>
      <c r="C7" s="70" t="n"/>
      <c r="D7" s="71" t="n"/>
      <c r="E7" s="14" t="inlineStr">
        <is>
          <t>Repository URL</t>
        </is>
      </c>
      <c r="F7" s="19" t="inlineStr">
        <is>
          <t>https://github.com/KARTHIKEYAN1109/Track-02-Human-Avatar-Generation</t>
        </is>
      </c>
      <c r="G7" s="70" t="n"/>
      <c r="H7" s="71" t="n"/>
    </row>
    <row r="8">
      <c r="A8" s="14" t="inlineStr">
        <is>
          <t>CPU and core count</t>
        </is>
      </c>
      <c r="B8" s="19" t="inlineStr">
        <is>
          <t>Intel64 Family 6 Model 154 (10 physical / 12 logical cores)</t>
        </is>
      </c>
      <c r="C8" s="70" t="n"/>
      <c r="D8" s="71" t="n"/>
      <c r="E8" s="14" t="inlineStr">
        <is>
          <t>RAM (GB)</t>
        </is>
      </c>
      <c r="F8" s="19" t="inlineStr">
        <is>
          <t>16 GB (15.69 GB)</t>
        </is>
      </c>
      <c r="G8" s="70" t="n"/>
      <c r="H8" s="71" t="n"/>
    </row>
    <row r="9">
      <c r="A9" s="14" t="inlineStr">
        <is>
          <t>Operating system</t>
        </is>
      </c>
      <c r="B9" s="19" t="inlineStr">
        <is>
          <t>Windows 11 (x86_64, Build 22631)</t>
        </is>
      </c>
      <c r="C9" s="70" t="n"/>
      <c r="D9" s="71" t="n"/>
      <c r="E9" s="14" t="inlineStr">
        <is>
          <t>Python/runtime versions</t>
        </is>
      </c>
      <c r="F9" s="19" t="inlineStr">
        <is>
          <t>Python 3.13.5 (Virtualenv .venv)</t>
        </is>
      </c>
      <c r="G9" s="70" t="n"/>
      <c r="H9" s="71" t="n"/>
    </row>
    <row r="10">
      <c r="A10" s="14" t="inlineStr">
        <is>
          <t>Approved free compute used?</t>
        </is>
      </c>
      <c r="B10" s="19" t="inlineStr">
        <is>
          <t>Yes</t>
        </is>
      </c>
      <c r="C10" s="70" t="n"/>
      <c r="D10" s="71" t="n"/>
      <c r="E10" s="14" t="inlineStr">
        <is>
          <t>Provider / runtime</t>
        </is>
      </c>
      <c r="F10" s="19" t="inlineStr">
        <is>
          <t>Kaggle Notebook (Free GPU: Tesla T4 / P100)</t>
        </is>
      </c>
      <c r="G10" s="70" t="n"/>
      <c r="H10" s="71" t="n"/>
    </row>
    <row r="11">
      <c r="A11" s="14" t="inlineStr">
        <is>
          <t>Report/demo folder URL</t>
        </is>
      </c>
      <c r="B11" s="19" t="inlineStr">
        <is>
          <t>https://github.com/KARTHIKEYAN1109/Track-02-Human-Avatar-Generation/tree/main/docs</t>
        </is>
      </c>
      <c r="C11" s="70" t="n"/>
      <c r="D11" s="71" t="n"/>
      <c r="E11" s="14" t="inlineStr">
        <is>
          <t>AI coding tools used</t>
        </is>
      </c>
      <c r="F11" s="19" t="inlineStr">
        <is>
          <t>Google Antigravity (Gemini 3.7 Flash) — disclosed in AI_USE.md</t>
        </is>
      </c>
      <c r="G11" s="70" t="n"/>
      <c r="H11" s="71" t="n"/>
    </row>
    <row r="13" ht="23" customHeight="1">
      <c r="A13" s="10" t="inlineStr">
        <is>
          <t>Assessment Rules</t>
        </is>
      </c>
    </row>
    <row r="14" ht="36" customHeight="1">
      <c r="A14" s="29" t="n">
        <v>1</v>
      </c>
      <c r="B14" s="34" t="inlineStr">
        <is>
          <t>Complete only this assigned track. Do not switch without written confirmation.</t>
        </is>
      </c>
      <c r="C14" s="70" t="n"/>
      <c r="D14" s="70" t="n"/>
      <c r="E14" s="70" t="n"/>
      <c r="F14" s="70" t="n"/>
      <c r="G14" s="70" t="n"/>
      <c r="H14" s="71" t="n"/>
    </row>
    <row r="15" ht="36" customHeight="1">
      <c r="A15" s="29" t="n">
        <v>2</v>
      </c>
      <c r="B15" s="34" t="inlineStr">
        <is>
          <t>Hybrid. The orchestration, safety checks, metadata, evaluation and tests must run locally on a non-GPU laptop. Image-model inference may run in a disclosed free accelerator notebook because realistic generation is generally impractical on typical CPUs. No candidate payment or card is permitted.</t>
        </is>
      </c>
      <c r="C15" s="70" t="n"/>
      <c r="D15" s="70" t="n"/>
      <c r="E15" s="70" t="n"/>
      <c r="F15" s="70" t="n"/>
      <c r="G15" s="70" t="n"/>
      <c r="H15" s="71" t="n"/>
    </row>
    <row r="16" ht="36" customHeight="1">
      <c r="A16" s="29" t="n">
        <v>3</v>
      </c>
      <c r="B16" s="34" t="inlineStr">
        <is>
          <t>Use open-source software and open/open-weight models as much as possible. Verify code, weights, data and media licences separately.</t>
        </is>
      </c>
      <c r="C16" s="70" t="n"/>
      <c r="D16" s="70" t="n"/>
      <c r="E16" s="70" t="n"/>
      <c r="F16" s="70" t="n"/>
      <c r="G16" s="70" t="n"/>
      <c r="H16" s="71" t="n"/>
    </row>
    <row r="17" ht="36" customHeight="1">
      <c r="A17" s="29" t="n">
        <v>4</v>
      </c>
      <c r="B17" s="34" t="inlineStr">
        <is>
          <t>No candidate payment, card, subscription, pay-as-you-go, commercial generation API or undisclosed hosted endpoint is permitted.</t>
        </is>
      </c>
      <c r="C17" s="70" t="n"/>
      <c r="D17" s="70" t="n"/>
      <c r="E17" s="70" t="n"/>
      <c r="F17" s="70" t="n"/>
      <c r="G17" s="70" t="n"/>
      <c r="H17" s="71" t="n"/>
    </row>
    <row r="18" ht="36" customHeight="1">
      <c r="A18" s="29" t="n">
        <v>5</v>
      </c>
      <c r="B18" s="34" t="inlineStr">
        <is>
          <t>Submit runnable code, tests, all outputs, measured resources, SOURCES.md, AI_USE.md, licence manifest, report and unedited demo.</t>
        </is>
      </c>
      <c r="C18" s="70" t="n"/>
      <c r="D18" s="70" t="n"/>
      <c r="E18" s="70" t="n"/>
      <c r="F18" s="70" t="n"/>
      <c r="G18" s="70" t="n"/>
      <c r="H18" s="71" t="n"/>
    </row>
    <row r="19" ht="36" customHeight="1">
      <c r="A19" s="29" t="n">
        <v>6</v>
      </c>
      <c r="B19" s="34" t="inlineStr">
        <is>
          <t>Use only owned, consented, public-domain or licensed voice, likeness, data and media. Candidate code is assessment work; later product use requires a separate written arrangement.</t>
        </is>
      </c>
      <c r="C19" s="70" t="n"/>
      <c r="D19" s="70" t="n"/>
      <c r="E19" s="70" t="n"/>
      <c r="F19" s="70" t="n"/>
      <c r="G19" s="70" t="n"/>
      <c r="H19" s="71" t="n"/>
    </row>
    <row r="21" ht="23" customHeight="1">
      <c r="A21" s="10" t="inlineStr">
        <is>
          <t>Scoring and Final Checklist</t>
        </is>
      </c>
    </row>
    <row r="22">
      <c r="A22" s="37" t="inlineStr">
        <is>
          <t>Category</t>
        </is>
      </c>
      <c r="B22" s="37" t="inlineStr">
        <is>
          <t>Points</t>
        </is>
      </c>
      <c r="C22" s="37" t="inlineStr">
        <is>
          <t>Owner</t>
        </is>
      </c>
      <c r="E22" s="37" t="inlineStr">
        <is>
          <t>Candidate checklist</t>
        </is>
      </c>
      <c r="F22" s="37" t="inlineStr">
        <is>
          <t>Status</t>
        </is>
      </c>
      <c r="G22" s="37" t="inlineStr">
        <is>
          <t>Evidence / note</t>
        </is>
      </c>
      <c r="H22" s="71" t="n"/>
    </row>
    <row r="23">
      <c r="A23" s="34" t="inlineStr">
        <is>
          <t>Functional correctness and output quality</t>
        </is>
      </c>
      <c r="B23" s="34" t="n">
        <v>25</v>
      </c>
      <c r="C23" s="34" t="inlineStr">
        <is>
          <t>Evaluator</t>
        </is>
      </c>
      <c r="E23" s="34" t="inlineStr">
        <is>
          <t>Repository accessible</t>
        </is>
      </c>
      <c r="F23" s="19" t="inlineStr">
        <is>
          <t>Completed</t>
        </is>
      </c>
      <c r="G23" s="19" t="inlineStr">
        <is>
          <t>https://github.com/KARTHIKEYAN1109/Track-02-Human-Avatar-Generation (main branch, private)</t>
        </is>
      </c>
      <c r="H23" s="71" t="n"/>
    </row>
    <row r="24">
      <c r="A24" s="34" t="inlineStr">
        <is>
          <t>Software engineering and architecture</t>
        </is>
      </c>
      <c r="B24" s="34" t="n">
        <v>25</v>
      </c>
      <c r="C24" s="34" t="inlineStr">
        <is>
          <t>Evaluator</t>
        </is>
      </c>
      <c r="E24" s="34" t="inlineStr">
        <is>
          <t>Clean setup/run path exercised</t>
        </is>
      </c>
      <c r="F24" s="19" t="inlineStr">
        <is>
          <t>Completed</t>
        </is>
      </c>
      <c r="G24" s="19" t="inlineStr">
        <is>
          <t>Tested via local .venv, requirements.txt, pyproject.toml, and REPRODUCTION.md commands</t>
        </is>
      </c>
      <c r="H24" s="71" t="n"/>
    </row>
    <row r="25">
      <c r="A25" s="34" t="inlineStr">
        <is>
          <t>Testing, evaluation and reproducibility</t>
        </is>
      </c>
      <c r="B25" s="34" t="n">
        <v>20</v>
      </c>
      <c r="C25" s="34" t="inlineStr">
        <is>
          <t>Evaluator</t>
        </is>
      </c>
      <c r="E25" s="34" t="inlineStr">
        <is>
          <t>Baseline evidence complete</t>
        </is>
      </c>
      <c r="F25" s="19" t="inlineStr">
        <is>
          <t>Completed</t>
        </is>
      </c>
      <c r="G25" s="19" t="inlineStr">
        <is>
          <t>6 baseline avatars generated on Kaggle GPU, ingested, and SHA-256 validated in outputs/</t>
        </is>
      </c>
      <c r="H25" s="71" t="n"/>
    </row>
    <row r="26">
      <c r="A26" s="34" t="inlineStr">
        <is>
          <t>Efficiency, licensing and product fit</t>
        </is>
      </c>
      <c r="B26" s="34" t="n">
        <v>10</v>
      </c>
      <c r="C26" s="34" t="inlineStr">
        <is>
          <t>Evaluator</t>
        </is>
      </c>
      <c r="E26" s="34" t="inlineStr">
        <is>
          <t>Models/licences/rights disclosed</t>
        </is>
      </c>
      <c r="F26" s="19" t="inlineStr">
        <is>
          <t>Completed</t>
        </is>
      </c>
      <c r="G26" s="19" t="inlineStr">
        <is>
          <t>CreativeML OpenRAIL-M, Apache-2.0, MIT, BSD documented in SOURCES.md and 02_COMPONENTS</t>
        </is>
      </c>
      <c r="H26" s="71" t="n"/>
    </row>
    <row r="27">
      <c r="A27" s="34" t="inlineStr">
        <is>
          <t>Live validation, debugging and ownership</t>
        </is>
      </c>
      <c r="B27" s="34" t="n">
        <v>20</v>
      </c>
      <c r="C27" s="34" t="inlineStr">
        <is>
          <t>Evaluator</t>
        </is>
      </c>
      <c r="E27" s="34" t="inlineStr">
        <is>
          <t>All attempts and failures indexed</t>
        </is>
      </c>
      <c r="F27" s="19" t="inlineStr">
        <is>
          <t>Completed</t>
        </is>
      </c>
      <c r="G27" s="19" t="inlineStr">
        <is>
          <t>24 outputs in evidence/ and 6 failure refusal/error test cases logged in failure_refusal_log.json</t>
        </is>
      </c>
      <c r="H27" s="71" t="n"/>
    </row>
    <row r="28">
      <c r="A28" s="34" t="inlineStr">
        <is>
          <t>Total</t>
        </is>
      </c>
      <c r="B28" s="34" t="n">
        <v>100</v>
      </c>
      <c r="C28" s="34" t="inlineStr">
        <is>
          <t>Calculated</t>
        </is>
      </c>
      <c r="E28" s="34" t="inlineStr">
        <is>
          <t>Tests and benchmark included</t>
        </is>
      </c>
      <c r="F28" s="19" t="inlineStr">
        <is>
          <t>Completed</t>
        </is>
      </c>
      <c r="G28" s="19" t="inlineStr">
        <is>
          <t>39/39 pytest tests passing (88% coverage) and benchmarks logged in benchmark_report.md</t>
        </is>
      </c>
      <c r="H28" s="71" t="n"/>
    </row>
    <row r="29">
      <c r="E29" s="34" t="inlineStr">
        <is>
          <t>Report, demo, SOURCES.md and AI_USE.md</t>
        </is>
      </c>
      <c r="F29" s="19" t="inlineStr">
        <is>
          <t>Completed</t>
        </is>
      </c>
      <c r="G29" s="19" t="inlineStr">
        <is>
          <t>TECHNICAL_REPORT.md, SOURCES.md, AI_USE.md in repo; demo video pending (candidate must record and upload)</t>
        </is>
      </c>
      <c r="H29" s="71" t="n"/>
    </row>
    <row r="30">
      <c r="E30" s="34" t="inlineStr">
        <is>
          <t>Free compute/no-payment rule disclosed</t>
        </is>
      </c>
      <c r="F30" s="19" t="inlineStr">
        <is>
          <t>Completed</t>
        </is>
      </c>
      <c r="G30" s="19" t="inlineStr">
        <is>
          <t>Kaggle free accelerator used (0 cost, no commercial generation APIs or paid tiers)</t>
        </is>
      </c>
      <c r="H30" s="71" t="n"/>
    </row>
    <row r="32">
      <c r="A32" s="41" t="inlineStr">
        <is>
          <t>Declaration: This is my individual work. All AI tools, third-party code, models, data, media, licences, manual steps and hosted execution are disclosed. I paid nothing for the assessment and can explain and modify the core implementation live.</t>
        </is>
      </c>
      <c r="B32" s="73" t="n"/>
      <c r="C32" s="73" t="n"/>
      <c r="D32" s="73" t="n"/>
      <c r="E32" s="73" t="n"/>
      <c r="F32" s="73" t="n"/>
      <c r="G32" s="73" t="n"/>
      <c r="H32" s="74" t="n"/>
    </row>
    <row r="33">
      <c r="A33" s="75" t="n"/>
      <c r="B33" s="76" t="n"/>
      <c r="C33" s="76" t="n"/>
      <c r="D33" s="76" t="n"/>
      <c r="E33" s="76" t="n"/>
      <c r="F33" s="76" t="n"/>
      <c r="G33" s="76" t="n"/>
      <c r="H33" s="77" t="n"/>
    </row>
    <row r="34">
      <c r="A34" s="43" t="inlineStr">
        <is>
          <t>Candidate name/signature</t>
        </is>
      </c>
      <c r="B34" s="19" t="inlineStr">
        <is>
          <t>Karthikeyan J</t>
        </is>
      </c>
      <c r="C34" s="70" t="n"/>
      <c r="D34" s="71" t="n"/>
      <c r="E34" s="43" t="inlineStr">
        <is>
          <t>Date</t>
        </is>
      </c>
      <c r="F34" s="19" t="inlineStr">
        <is>
          <t>11 September 2026</t>
        </is>
      </c>
      <c r="G34" s="70" t="n"/>
      <c r="H34" s="71" t="n"/>
    </row>
  </sheetData>
  <mergeCells count="37">
    <mergeCell ref="B11:D11"/>
    <mergeCell ref="F5:H5"/>
    <mergeCell ref="B8:D8"/>
    <mergeCell ref="G27:H27"/>
    <mergeCell ref="F8:H8"/>
    <mergeCell ref="B15:H15"/>
    <mergeCell ref="G23:H23"/>
    <mergeCell ref="A1:H1"/>
    <mergeCell ref="A32:H33"/>
    <mergeCell ref="B34:D34"/>
    <mergeCell ref="B10:D10"/>
    <mergeCell ref="B9:D9"/>
    <mergeCell ref="B16:H16"/>
    <mergeCell ref="G28:H28"/>
    <mergeCell ref="F9:H9"/>
    <mergeCell ref="B6:D6"/>
    <mergeCell ref="B5:D5"/>
    <mergeCell ref="A21:H21"/>
    <mergeCell ref="B18:H18"/>
    <mergeCell ref="G24:H24"/>
    <mergeCell ref="G30:H30"/>
    <mergeCell ref="F7:H7"/>
    <mergeCell ref="A2:H2"/>
    <mergeCell ref="B7:D7"/>
    <mergeCell ref="F11:H11"/>
    <mergeCell ref="G26:H26"/>
    <mergeCell ref="G29:H29"/>
    <mergeCell ref="A4:H4"/>
    <mergeCell ref="F10:H10"/>
    <mergeCell ref="B14:H14"/>
    <mergeCell ref="F34:H34"/>
    <mergeCell ref="F6:H6"/>
    <mergeCell ref="B17:H17"/>
    <mergeCell ref="G25:H25"/>
    <mergeCell ref="A13:H13"/>
    <mergeCell ref="G22:H22"/>
    <mergeCell ref="B19:H19"/>
  </mergeCells>
  <dataValidations count="2">
    <dataValidation sqref="B10:D10" showDropDown="0" showInputMessage="0" showErrorMessage="0" allowBlank="0" type="list">
      <formula1>"No,Yes - free only,Blocked; IncuBrix support requested"</formula1>
    </dataValidation>
    <dataValidation sqref="F23:F30" showDropDown="0" showInputMessage="0" showErrorMessage="0" allowBlank="0" type="list">
      <formula1>"Complete,Partial,Not complete"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9" customWidth="1" min="1" max="1"/>
    <col width="38" customWidth="1" min="2" max="2"/>
    <col width="18" customWidth="1" min="3" max="3"/>
    <col width="34" customWidth="1" min="4" max="4"/>
    <col width="28" customWidth="1" min="5" max="5"/>
    <col width="28" customWidth="1" min="6" max="6"/>
  </cols>
  <sheetData>
    <row r="1" ht="34" customHeight="1">
      <c r="A1" s="3" t="inlineStr">
        <is>
          <t>Track 02 | Deliverables and Reproduction</t>
        </is>
      </c>
    </row>
    <row r="2" ht="28" customHeight="1">
      <c r="A2" s="7" t="inlineStr">
        <is>
          <t>Enter working paths/URLs and exact commands; reviewer notes are blue</t>
        </is>
      </c>
    </row>
    <row r="4">
      <c r="A4" s="37" t="inlineStr">
        <is>
          <t>No.</t>
        </is>
      </c>
      <c r="B4" s="37" t="inlineStr">
        <is>
          <t>Deliverable</t>
        </is>
      </c>
      <c r="C4" s="37" t="inlineStr">
        <is>
          <t>Candidate status</t>
        </is>
      </c>
      <c r="D4" s="37" t="inlineStr">
        <is>
          <t>Evidence / path / URL</t>
        </is>
      </c>
      <c r="E4" s="37" t="inlineStr">
        <is>
          <t>Candidate notes</t>
        </is>
      </c>
      <c r="F4" s="37" t="inlineStr">
        <is>
          <t>Reviewer note</t>
        </is>
      </c>
    </row>
    <row r="5" ht="40" customHeight="1">
      <c r="A5" s="34" t="n">
        <v>1</v>
      </c>
      <c r="B5" s="34" t="inlineStr">
        <is>
          <t>Repository: source, configuration, tests and download scripts</t>
        </is>
      </c>
      <c r="C5" s="19" t="inlineStr">
        <is>
          <t>Completed</t>
        </is>
      </c>
      <c r="D5" s="19" t="inlineStr">
        <is>
          <t>https://github.com/KARTHIKEYAN1109/Track-02-Human-Avatar-Generation</t>
        </is>
      </c>
      <c r="E5" s="19" t="inlineStr">
        <is>
          <t>Complete source code (src/avatar_system), config files (configs/), 39 pytest tests (tests/), and CLI entrypoints.</t>
        </is>
      </c>
      <c r="F5" s="48" t="str"/>
    </row>
    <row r="6" ht="40" customHeight="1">
      <c r="A6" s="34" t="n">
        <v>2</v>
      </c>
      <c r="B6" s="34" t="inlineStr">
        <is>
          <t>Clean CPU reproduction: environment/lock/container file</t>
        </is>
      </c>
      <c r="C6" s="19" t="inlineStr">
        <is>
          <t>Completed</t>
        </is>
      </c>
      <c r="D6" s="19" t="inlineStr">
        <is>
          <t>pyproject.toml, requirements.txt, docs/REPRODUCTION.md</t>
        </is>
      </c>
      <c r="E6" s="19" t="inlineStr">
        <is>
          <t>Clean Python 3.10+ venv environment. Orchestration, job creation, validation, safety, and evaluation run 100% locally on CPU.</t>
        </is>
      </c>
      <c r="F6" s="48" t="str"/>
    </row>
    <row r="7" ht="40" customHeight="1">
      <c r="A7" s="34" t="n">
        <v>3</v>
      </c>
      <c r="B7" s="34" t="inlineStr">
        <is>
          <t>Approved free-compute notebook and exported logs (if permitted/used)</t>
        </is>
      </c>
      <c r="C7" s="19" t="inlineStr">
        <is>
          <t>Completed</t>
        </is>
      </c>
      <c r="D7" s="19" t="inlineStr">
        <is>
          <t>notebooks/avatar_generation_kaggle.ipynb</t>
        </is>
      </c>
      <c r="E7" s="19" t="inlineStr">
        <is>
          <t>Standalone Kaggle notebook running on free GPU (Tesla T4), pinned diffusers 0.32.2 &amp; transformers 4.49.0, generated 24 avatar outputs.</t>
        </is>
      </c>
      <c r="F7" s="48" t="str"/>
    </row>
    <row r="8" ht="40" customHeight="1">
      <c r="A8" s="34" t="n">
        <v>4</v>
      </c>
      <c r="B8" s="34" t="inlineStr">
        <is>
          <t>SOURCES.md, AI_USE.md and complete licence/rights manifest</t>
        </is>
      </c>
      <c r="C8" s="19" t="inlineStr">
        <is>
          <t>Completed</t>
        </is>
      </c>
      <c r="D8" s="19" t="inlineStr">
        <is>
          <t>SOURCES.md, AI_USE.md, LICENSE</t>
        </is>
      </c>
      <c r="E8" s="19" t="inlineStr">
        <is>
          <t>Complete attribution of all libraries, Stable Diffusion v1.5 OpenRAIL-M licence, SD v2.1-base OpenRAIL++-M, and full AI coding disclosure.</t>
        </is>
      </c>
      <c r="F8" s="48" t="str"/>
    </row>
    <row r="9" ht="40" customHeight="1">
      <c r="A9" s="34" t="n">
        <v>5</v>
      </c>
      <c r="B9" s="34" t="inlineStr">
        <is>
          <t>Track-specific test pack, all outputs and evidence index</t>
        </is>
      </c>
      <c r="C9" s="19" t="inlineStr">
        <is>
          <t>Completed</t>
        </is>
      </c>
      <c r="D9" s="19" t="inlineStr">
        <is>
          <t>evidence/evidence_index.md, outputs/</t>
        </is>
      </c>
      <c r="E9" s="19" t="inlineStr">
        <is>
          <t>24 validated avatar outputs with SHA-256 manifests, structured specs in configs/, failure cases in evidence/failures/, and evidence index.</t>
        </is>
      </c>
      <c r="F9" s="48" t="str"/>
    </row>
    <row r="10" ht="40" customHeight="1">
      <c r="A10" s="34" t="n">
        <v>6</v>
      </c>
      <c r="B10" s="34" t="inlineStr">
        <is>
          <t>Automated unit, integration and end-to-end tests</t>
        </is>
      </c>
      <c r="C10" s="19" t="inlineStr">
        <is>
          <t>Completed</t>
        </is>
      </c>
      <c r="D10" s="19" t="inlineStr">
        <is>
          <t>tests/, evidence/tests/pytest_report.txt</t>
        </is>
      </c>
      <c r="E10" s="19" t="inlineStr">
        <is>
          <t>39 pytest tests passing (100% pass rate, 0 failures, 88% statement coverage) covering schemas, prompts, safety, provenance, validator, and eval.</t>
        </is>
      </c>
      <c r="F10" s="48" t="str"/>
    </row>
    <row r="11" ht="40" customHeight="1">
      <c r="A11" s="34" t="n">
        <v>7</v>
      </c>
      <c r="B11" s="34" t="inlineStr">
        <is>
          <t>Benchmark: runtime, memory, model size and quality metrics</t>
        </is>
      </c>
      <c r="C11" s="19" t="inlineStr">
        <is>
          <t>Completed</t>
        </is>
      </c>
      <c r="D11" s="19" t="inlineStr">
        <is>
          <t>evidence/benchmarks/benchmark_report.md, scripts/run_benchmarks.py</t>
        </is>
      </c>
      <c r="E11" s="19" t="inlineStr">
        <is>
          <t>Local orchestrator benchmarks (CPU RAM ~38.6 MB, throughput 30.1 jobs/sec) + Kaggle free GPU benchmarks (SD1.5 ~4.27 GB VRAM, 3.8s/img).</t>
        </is>
      </c>
      <c r="F11" s="48" t="str"/>
    </row>
    <row r="12" ht="40" customHeight="1">
      <c r="A12" s="34" t="n">
        <v>8</v>
      </c>
      <c r="B12" s="34" t="inlineStr">
        <is>
          <t>Technical report: architecture, trade-offs, failures and product path</t>
        </is>
      </c>
      <c r="C12" s="19" t="inlineStr">
        <is>
          <t>Completed</t>
        </is>
      </c>
      <c r="D12" s="19" t="inlineStr">
        <is>
          <t>docs/TECHNICAL_REPORT.md</t>
        </is>
      </c>
      <c r="E12" s="19" t="inlineStr">
        <is>
          <t>In-depth technical report detailing system architecture, prompt engineering, inclusive attribute matrix, failure analysis, and product roadmap.</t>
        </is>
      </c>
      <c r="F12" s="48" t="str"/>
    </row>
    <row r="13" ht="40" customHeight="1">
      <c r="A13" s="34" t="n">
        <v>9</v>
      </c>
      <c r="B13" s="34" t="inlineStr">
        <is>
          <t>Unedited demo video (maximum 8 minutes)</t>
        </is>
      </c>
      <c r="C13" s="19" t="inlineStr">
        <is>
          <t>Pending — candidate must record and upload the video.</t>
        </is>
      </c>
      <c r="D13" s="19" t="inlineStr">
        <is>
          <t>Pending — candidate must record and upload the video.</t>
        </is>
      </c>
      <c r="E13" s="19" t="inlineStr">
        <is>
          <t>Walkthrough demonstration video pending candidate recording and upload; all CLI, test, and generation steps are 100% reproducible via REPRODUCTION.md.</t>
        </is>
      </c>
      <c r="F13" s="48" t="str"/>
    </row>
    <row r="15" ht="23" customHeight="1">
      <c r="A15" s="10" t="inlineStr">
        <is>
          <t>Exact Reproduction Commands</t>
        </is>
      </c>
    </row>
    <row r="16" ht="36" customHeight="1">
      <c r="A16" s="14" t="inlineStr">
        <is>
          <t>Environment/setup</t>
        </is>
      </c>
      <c r="B16" s="19" t="inlineStr">
        <is>
          <t>python -m venv .venv; .venv\Scripts\Activate.ps1; pip install --upgrade pip; pip install -e ".[dev]"</t>
        </is>
      </c>
      <c r="C16" s="70" t="n"/>
      <c r="D16" s="70" t="n"/>
      <c r="E16" s="70" t="n"/>
      <c r="F16" s="71" t="n"/>
    </row>
    <row r="17" ht="36" customHeight="1">
      <c r="A17" s="14" t="inlineStr">
        <is>
          <t>Model/asset download</t>
        </is>
      </c>
      <c r="B17" s="19" t="inlineStr">
        <is>
          <t>python -c "from huggingface_hub import snapshot_download; snapshot_download(\"runwayml/stable-diffusion-v1-5\", allow_patterns=[\"*.json\", \"*.safetensors\"])" (handled automatically in Kaggle notebook)</t>
        </is>
      </c>
      <c r="C17" s="70" t="n"/>
      <c r="D17" s="70" t="n"/>
      <c r="E17" s="70" t="n"/>
      <c r="F17" s="71" t="n"/>
    </row>
    <row r="18" ht="36" customHeight="1">
      <c r="A18" s="14" t="inlineStr">
        <is>
          <t>CPU baseline run</t>
        </is>
      </c>
      <c r="B18" s="19" t="inlineStr">
        <is>
          <t>avatar job create --config configs/baseline_avatars.yaml --output-dir jobs/baseline_bundle --preset sd15</t>
        </is>
      </c>
      <c r="C18" s="70" t="n"/>
      <c r="D18" s="70" t="n"/>
      <c r="E18" s="70" t="n"/>
      <c r="F18" s="71" t="n"/>
    </row>
    <row r="19" ht="36" customHeight="1">
      <c r="A19" s="14" t="inlineStr">
        <is>
          <t>Approved free-compute run (if used)</t>
        </is>
      </c>
      <c r="B19" s="19" t="inlineStr">
        <is>
          <t>Open notebooks/avatar_generation_kaggle.ipynb in Kaggle GPU runtime (Tesla T4), run all cells to execute jobs/baseline_bundle, download generated_outputs.zip</t>
        </is>
      </c>
      <c r="C19" s="70" t="n"/>
      <c r="D19" s="70" t="n"/>
      <c r="E19" s="70" t="n"/>
      <c r="F19" s="71" t="n"/>
    </row>
    <row r="20" ht="36" customHeight="1">
      <c r="A20" s="14" t="inlineStr">
        <is>
          <t>Automated tests</t>
        </is>
      </c>
      <c r="B20" s="19" t="inlineStr">
        <is>
          <t>pytest tests/ -v --cov=src/avatar_system --cov-report=term-missing</t>
        </is>
      </c>
      <c r="C20" s="70" t="n"/>
      <c r="D20" s="70" t="n"/>
      <c r="E20" s="70" t="n"/>
      <c r="F20" s="71" t="n"/>
    </row>
    <row r="21" ht="36" customHeight="1">
      <c r="A21" s="14" t="inlineStr">
        <is>
          <t>Benchmark</t>
        </is>
      </c>
      <c r="B21" s="19" t="inlineStr">
        <is>
          <t>python scripts/run_benchmarks.py</t>
        </is>
      </c>
      <c r="C21" s="70" t="n"/>
      <c r="D21" s="70" t="n"/>
      <c r="E21" s="70" t="n"/>
      <c r="F21" s="71" t="n"/>
    </row>
    <row r="22" ht="36" customHeight="1">
      <c r="A22" s="14" t="inlineStr">
        <is>
          <t>Output validation</t>
        </is>
      </c>
      <c r="B22" s="19" t="inlineStr">
        <is>
          <t>avatar ingest --bundle outputs/batch_outputs.zip --output-dir outputs/ingested; avatar validate --directory outputs; avatar evaluate --results outputs</t>
        </is>
      </c>
      <c r="C22" s="70" t="n"/>
      <c r="D22" s="70" t="n"/>
      <c r="E22" s="70" t="n"/>
      <c r="F22" s="71" t="n"/>
    </row>
    <row r="24" ht="23" customHeight="1">
      <c r="A24" s="10" t="inlineStr">
        <is>
          <t>Submission Notes</t>
        </is>
      </c>
    </row>
    <row r="25">
      <c r="A25" s="19" t="inlineStr">
        <is>
          <t>The system adopts a modular hybrid architecture separating local CLI orchestration, safety validation, prompt synthesis, and provenance verification from accelerator inference. All local components run on standard CPU laptops with zero cloud dependencies or paid APIs. Heavy diffusion inference was performed on Kaggle's free accelerator tier (Tesla T4 GPU) using open-weight Stable Diffusion v1.5 with deterministic seeds and memory-efficient attention. 24 avatar manifests were generated, ingested, and validated with 100% cryptographic SHA-256 provenance match. The test suite achieves 39/39 passing tests (88% code coverage). Diversity evaluation confirms 6 unique skin tones, 4 age bands, 6 hairstyles, 6 presentations, and 7 backgrounds with 98.8% mean prompt adherence. Performance Level Status: Baseline fully met. Strong core capabilities met (balanced geographic matrix, 4 single-attribute isolation tests, adherence metrics); live generation executed with SD 1.5 only (SD 2.1 designed/configured in routing.py but not live-generated). Exceptional not completed because live consented reference-image face embedding identity evaluation was not executed.</t>
        </is>
      </c>
      <c r="B25" s="73" t="n"/>
      <c r="C25" s="73" t="n"/>
      <c r="D25" s="73" t="n"/>
      <c r="E25" s="73" t="n"/>
      <c r="F25" s="74" t="n"/>
    </row>
    <row r="26">
      <c r="A26" s="78" t="n"/>
      <c r="F26" s="79" t="n"/>
    </row>
    <row r="27">
      <c r="A27" s="78" t="n"/>
      <c r="F27" s="79" t="n"/>
    </row>
    <row r="28">
      <c r="A28" s="75" t="n"/>
      <c r="B28" s="76" t="n"/>
      <c r="C28" s="76" t="n"/>
      <c r="D28" s="76" t="n"/>
      <c r="E28" s="76" t="n"/>
      <c r="F28" s="77" t="n"/>
    </row>
  </sheetData>
  <mergeCells count="12">
    <mergeCell ref="B21:F21"/>
    <mergeCell ref="A2:F2"/>
    <mergeCell ref="A24:F24"/>
    <mergeCell ref="A25:F28"/>
    <mergeCell ref="B16:F16"/>
    <mergeCell ref="B20:F20"/>
    <mergeCell ref="A1:F1"/>
    <mergeCell ref="B19:F19"/>
    <mergeCell ref="A15:F15"/>
    <mergeCell ref="B22:F22"/>
    <mergeCell ref="B17:F17"/>
    <mergeCell ref="B18:F18"/>
  </mergeCells>
  <dataValidations count="1">
    <dataValidation sqref="C5:C13" showDropDown="0" showInputMessage="0" showErrorMessage="0" allowBlank="0" type="list">
      <formula1>"Complete,Partial,Not complete,Not applicable"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23" customWidth="1" min="1" max="1"/>
    <col width="20" customWidth="1" min="2" max="2"/>
    <col width="23" customWidth="1" min="3" max="3"/>
    <col width="34" customWidth="1" min="4" max="4"/>
    <col width="18" customWidth="1" min="5" max="5"/>
    <col width="28" customWidth="1" min="6" max="6"/>
    <col width="16" customWidth="1" min="7" max="7"/>
    <col width="22" customWidth="1" min="8" max="8"/>
    <col width="13" customWidth="1" min="9" max="9"/>
    <col width="12" customWidth="1" min="10" max="10"/>
    <col width="28" customWidth="1" min="11" max="11"/>
    <col width="15" customWidth="1" min="12" max="12"/>
  </cols>
  <sheetData>
    <row r="1" ht="34" customHeight="1">
      <c r="A1" s="3" t="inlineStr">
        <is>
          <t>Track 02 | Component, Model and Licence Manifest</t>
        </is>
      </c>
    </row>
    <row r="2" ht="28" customHeight="1">
      <c r="A2" s="7" t="inlineStr">
        <is>
          <t>List every material library, model/checkpoint, dataset, media and hosted execution environment</t>
        </is>
      </c>
    </row>
    <row r="4">
      <c r="A4" s="37" t="inlineStr">
        <is>
          <t>Component / asset</t>
        </is>
      </c>
      <c r="B4" s="37" t="inlineStr">
        <is>
          <t>Version / checkpoint</t>
        </is>
      </c>
      <c r="C4" s="37" t="inlineStr">
        <is>
          <t>Role</t>
        </is>
      </c>
      <c r="D4" s="37" t="inlineStr">
        <is>
          <t>Source URL</t>
        </is>
      </c>
      <c r="E4" s="37" t="inlineStr">
        <is>
          <t>Code licence</t>
        </is>
      </c>
      <c r="F4" s="37" t="inlineStr">
        <is>
          <t>Weights/data/media licence</t>
        </is>
      </c>
      <c r="G4" s="37" t="inlineStr">
        <is>
          <t>Commercial use</t>
        </is>
      </c>
      <c r="H4" s="37" t="inlineStr">
        <is>
          <t>Execution</t>
        </is>
      </c>
      <c r="I4" s="37" t="inlineStr">
        <is>
          <t>Core path</t>
        </is>
      </c>
      <c r="J4" s="37" t="inlineStr">
        <is>
          <t>Size MB</t>
        </is>
      </c>
      <c r="K4" s="37" t="inlineStr">
        <is>
          <t>Attribution / restrictions</t>
        </is>
      </c>
      <c r="L4" s="37" t="inlineStr">
        <is>
          <t>Verified date</t>
        </is>
      </c>
    </row>
    <row r="5" ht="36" customHeight="1">
      <c r="A5" s="19" t="inlineStr">
        <is>
          <t>Stable Diffusion v1.5</t>
        </is>
      </c>
      <c r="B5" s="19" t="inlineStr">
        <is>
          <t>main (a3245452f1...)</t>
        </is>
      </c>
      <c r="C5" s="19" t="inlineStr">
        <is>
          <t>Text-to-image portrait diffusion model (primary)</t>
        </is>
      </c>
      <c r="D5" s="19" t="inlineStr">
        <is>
          <t>https://huggingface.co/stable-diffusion-v1-5/stable-diffusion-v1-5</t>
        </is>
      </c>
      <c r="E5" s="19" t="inlineStr">
        <is>
          <t>CreativeML OpenRAIL-M</t>
        </is>
      </c>
      <c r="F5" s="19" t="inlineStr">
        <is>
          <t>CreativeML OpenRAIL-M</t>
        </is>
      </c>
      <c r="G5" s="19" t="inlineStr">
        <is>
          <t>Yes (with OpenRAIL use restrictions)</t>
        </is>
      </c>
      <c r="H5" s="19" t="inlineStr">
        <is>
          <t>Kaggle Cloud GPU (Free Tier)</t>
        </is>
      </c>
      <c r="I5" s="19" t="inlineStr">
        <is>
          <t>runwayml/stable-diffusion-v1-5</t>
        </is>
      </c>
      <c r="J5" s="80" t="n">
        <v>3970</v>
      </c>
      <c r="K5" s="19" t="inlineStr">
        <is>
          <t>OpenRAIL-M attribution required; Attachment A restrictions enforced</t>
        </is>
      </c>
      <c r="L5" s="72" t="inlineStr">
        <is>
          <t>2026-09-11</t>
        </is>
      </c>
    </row>
    <row r="6" ht="36" customHeight="1">
      <c r="A6" s="19" t="inlineStr">
        <is>
          <t>Stable Diffusion v2.1-base</t>
        </is>
      </c>
      <c r="B6" s="19" t="inlineStr">
        <is>
          <t>main (5ede9e4bf3...)</t>
        </is>
      </c>
      <c r="C6" s="19" t="inlineStr">
        <is>
          <t>Text-to-image pipeline fallback / architecture reference</t>
        </is>
      </c>
      <c r="D6" s="19" t="inlineStr">
        <is>
          <t>https://huggingface.co/stabilityai/stable-diffusion-2-1-base</t>
        </is>
      </c>
      <c r="E6" s="19" t="inlineStr">
        <is>
          <t>CreativeML OpenRAIL++-M</t>
        </is>
      </c>
      <c r="F6" s="19" t="inlineStr">
        <is>
          <t>CreativeML OpenRAIL++-M</t>
        </is>
      </c>
      <c r="G6" s="19" t="inlineStr">
        <is>
          <t>Yes (with OpenRAIL++ use restrictions)</t>
        </is>
      </c>
      <c r="H6" s="19" t="inlineStr">
        <is>
          <t>Kaggle Cloud GPU (Free Tier)</t>
        </is>
      </c>
      <c r="I6" s="19" t="inlineStr">
        <is>
          <t>stabilityai/stable-diffusion-2-1-base</t>
        </is>
      </c>
      <c r="J6" s="80" t="n">
        <v>5180</v>
      </c>
      <c r="K6" s="19" t="inlineStr">
        <is>
          <t>OpenRAIL++-M attribution required; Attachment A restrictions enforced</t>
        </is>
      </c>
      <c r="L6" s="72" t="inlineStr">
        <is>
          <t>2026-09-11</t>
        </is>
      </c>
    </row>
    <row r="7" ht="36" customHeight="1">
      <c r="A7" s="19" t="inlineStr">
        <is>
          <t>diffusers</t>
        </is>
      </c>
      <c r="B7" s="19" t="inlineStr">
        <is>
          <t>0.32.2</t>
        </is>
      </c>
      <c r="C7" s="19" t="inlineStr">
        <is>
          <t>Diffusion pipeline orchestration &amp; schedulers (DPMSolver)</t>
        </is>
      </c>
      <c r="D7" s="19" t="inlineStr">
        <is>
          <t>https://github.com/huggingface/diffusers</t>
        </is>
      </c>
      <c r="E7" s="19" t="inlineStr">
        <is>
          <t>Apache-2.0</t>
        </is>
      </c>
      <c r="F7" s="19" t="inlineStr">
        <is>
          <t>N/A</t>
        </is>
      </c>
      <c r="G7" s="19" t="inlineStr">
        <is>
          <t>Yes</t>
        </is>
      </c>
      <c r="H7" s="19" t="inlineStr">
        <is>
          <t>Kaggle Cloud GPU</t>
        </is>
      </c>
      <c r="I7" s="19" t="inlineStr">
        <is>
          <t>diffusers</t>
        </is>
      </c>
      <c r="J7" s="80" t="n">
        <v>45</v>
      </c>
      <c r="K7" s="19" t="inlineStr">
        <is>
          <t>Apache 2.0 attribution notice</t>
        </is>
      </c>
      <c r="L7" s="72" t="inlineStr">
        <is>
          <t>2026-09-11</t>
        </is>
      </c>
    </row>
    <row r="8" ht="36" customHeight="1">
      <c r="A8" s="19" t="inlineStr">
        <is>
          <t>transformers</t>
        </is>
      </c>
      <c r="B8" s="19" t="inlineStr">
        <is>
          <t>4.49.0</t>
        </is>
      </c>
      <c r="C8" s="19" t="inlineStr">
        <is>
          <t>CLIP text tokenizer &amp; encoder</t>
        </is>
      </c>
      <c r="D8" s="19" t="inlineStr">
        <is>
          <t>https://github.com/huggingface/transformers</t>
        </is>
      </c>
      <c r="E8" s="19" t="inlineStr">
        <is>
          <t>Apache-2.0</t>
        </is>
      </c>
      <c r="F8" s="19" t="inlineStr">
        <is>
          <t>N/A</t>
        </is>
      </c>
      <c r="G8" s="19" t="inlineStr">
        <is>
          <t>Yes</t>
        </is>
      </c>
      <c r="H8" s="19" t="inlineStr">
        <is>
          <t>Kaggle Cloud GPU</t>
        </is>
      </c>
      <c r="I8" s="19" t="inlineStr">
        <is>
          <t>transformers</t>
        </is>
      </c>
      <c r="J8" s="80" t="n">
        <v>90</v>
      </c>
      <c r="K8" s="19" t="inlineStr">
        <is>
          <t>Apache 2.0 attribution notice</t>
        </is>
      </c>
      <c r="L8" s="72" t="inlineStr">
        <is>
          <t>2026-09-11</t>
        </is>
      </c>
    </row>
    <row r="9" ht="36" customHeight="1">
      <c r="A9" s="19" t="inlineStr">
        <is>
          <t>torch &amp; torchvision</t>
        </is>
      </c>
      <c r="B9" s="19" t="inlineStr">
        <is>
          <t>2.2.0+cu121</t>
        </is>
      </c>
      <c r="C9" s="19" t="inlineStr">
        <is>
          <t>Deep learning tensor framework &amp; CUDA execution</t>
        </is>
      </c>
      <c r="D9" s="19" t="inlineStr">
        <is>
          <t>https://pytorch.org</t>
        </is>
      </c>
      <c r="E9" s="19" t="inlineStr">
        <is>
          <t>Modified BSD</t>
        </is>
      </c>
      <c r="F9" s="19" t="inlineStr">
        <is>
          <t>N/A</t>
        </is>
      </c>
      <c r="G9" s="19" t="inlineStr">
        <is>
          <t>Yes</t>
        </is>
      </c>
      <c r="H9" s="19" t="inlineStr">
        <is>
          <t>Kaggle Cloud GPU</t>
        </is>
      </c>
      <c r="I9" s="19" t="inlineStr">
        <is>
          <t>torch</t>
        </is>
      </c>
      <c r="J9" s="80" t="n">
        <v>2400</v>
      </c>
      <c r="K9" s="19" t="inlineStr">
        <is>
          <t>BSD 3-Clause notice</t>
        </is>
      </c>
      <c r="L9" s="72" t="inlineStr">
        <is>
          <t>2026-09-11</t>
        </is>
      </c>
    </row>
    <row r="10" ht="36" customHeight="1">
      <c r="A10" s="19" t="inlineStr">
        <is>
          <t>accelerate</t>
        </is>
      </c>
      <c r="B10" s="19" t="inlineStr">
        <is>
          <t>0.28.0</t>
        </is>
      </c>
      <c r="C10" s="19" t="inlineStr">
        <is>
          <t>VRAM memory optimization &amp; attention slicing</t>
        </is>
      </c>
      <c r="D10" s="19" t="inlineStr">
        <is>
          <t>https://github.com/huggingface/accelerate</t>
        </is>
      </c>
      <c r="E10" s="19" t="inlineStr">
        <is>
          <t>Apache-2.0</t>
        </is>
      </c>
      <c r="F10" s="19" t="inlineStr">
        <is>
          <t>N/A</t>
        </is>
      </c>
      <c r="G10" s="19" t="inlineStr">
        <is>
          <t>Yes</t>
        </is>
      </c>
      <c r="H10" s="19" t="inlineStr">
        <is>
          <t>Kaggle Cloud GPU</t>
        </is>
      </c>
      <c r="I10" s="19" t="inlineStr">
        <is>
          <t>accelerate</t>
        </is>
      </c>
      <c r="J10" s="80" t="n">
        <v>15</v>
      </c>
      <c r="K10" s="19" t="inlineStr">
        <is>
          <t>Apache 2.0 attribution notice</t>
        </is>
      </c>
      <c r="L10" s="72" t="inlineStr">
        <is>
          <t>2026-09-11</t>
        </is>
      </c>
    </row>
    <row r="11" ht="36" customHeight="1">
      <c r="A11" s="19" t="inlineStr">
        <is>
          <t>safetensors</t>
        </is>
      </c>
      <c r="B11" s="19" t="inlineStr">
        <is>
          <t>0.4.2</t>
        </is>
      </c>
      <c r="C11" s="19" t="inlineStr">
        <is>
          <t>Fast, secure tensor deserialization</t>
        </is>
      </c>
      <c r="D11" s="19" t="inlineStr">
        <is>
          <t>https://github.com/huggingface/safetensors</t>
        </is>
      </c>
      <c r="E11" s="19" t="inlineStr">
        <is>
          <t>Apache-2.0</t>
        </is>
      </c>
      <c r="F11" s="19" t="inlineStr">
        <is>
          <t>N/A</t>
        </is>
      </c>
      <c r="G11" s="19" t="inlineStr">
        <is>
          <t>Yes</t>
        </is>
      </c>
      <c r="H11" s="19" t="inlineStr">
        <is>
          <t>Kaggle Cloud GPU</t>
        </is>
      </c>
      <c r="I11" s="19" t="inlineStr">
        <is>
          <t>safetensors</t>
        </is>
      </c>
      <c r="J11" s="80" t="n">
        <v>5</v>
      </c>
      <c r="K11" s="19" t="inlineStr">
        <is>
          <t>Apache 2.0 attribution notice</t>
        </is>
      </c>
      <c r="L11" s="72" t="inlineStr">
        <is>
          <t>2026-09-11</t>
        </is>
      </c>
    </row>
    <row r="12" ht="36" customHeight="1">
      <c r="A12" s="19" t="inlineStr">
        <is>
          <t>pydantic</t>
        </is>
      </c>
      <c r="B12" s="19" t="inlineStr">
        <is>
          <t>2.13.5</t>
        </is>
      </c>
      <c r="C12" s="19" t="inlineStr">
        <is>
          <t>Schema definition &amp; strict contract enforcement</t>
        </is>
      </c>
      <c r="D12" s="19" t="inlineStr">
        <is>
          <t>https://github.com/pydantic/pydantic</t>
        </is>
      </c>
      <c r="E12" s="19" t="inlineStr">
        <is>
          <t>MIT</t>
        </is>
      </c>
      <c r="F12" s="19" t="inlineStr">
        <is>
          <t>N/A</t>
        </is>
      </c>
      <c r="G12" s="19" t="inlineStr">
        <is>
          <t>Yes</t>
        </is>
      </c>
      <c r="H12" s="19" t="inlineStr">
        <is>
          <t>Local CPU Laptop</t>
        </is>
      </c>
      <c r="I12" s="19" t="inlineStr">
        <is>
          <t>src/avatar_system/schemas.py</t>
        </is>
      </c>
      <c r="J12" s="80" t="n">
        <v>12</v>
      </c>
      <c r="K12" s="19" t="inlineStr">
        <is>
          <t>MIT License notice</t>
        </is>
      </c>
      <c r="L12" s="72" t="inlineStr">
        <is>
          <t>2026-09-11</t>
        </is>
      </c>
    </row>
    <row r="13" ht="36" customHeight="1">
      <c r="A13" s="19" t="inlineStr">
        <is>
          <t>pyyaml</t>
        </is>
      </c>
      <c r="B13" s="19" t="inlineStr">
        <is>
          <t>6.0.3</t>
        </is>
      </c>
      <c r="C13" s="19" t="inlineStr">
        <is>
          <t>YAML specification configuration parsing</t>
        </is>
      </c>
      <c r="D13" s="19" t="inlineStr">
        <is>
          <t>https://github.com/yaml/pyyaml</t>
        </is>
      </c>
      <c r="E13" s="19" t="inlineStr">
        <is>
          <t>MIT</t>
        </is>
      </c>
      <c r="F13" s="19" t="inlineStr">
        <is>
          <t>N/A</t>
        </is>
      </c>
      <c r="G13" s="19" t="inlineStr">
        <is>
          <t>Yes</t>
        </is>
      </c>
      <c r="H13" s="19" t="inlineStr">
        <is>
          <t>Local CPU Laptop</t>
        </is>
      </c>
      <c r="I13" s="19" t="inlineStr">
        <is>
          <t>src/avatar_system/config.py</t>
        </is>
      </c>
      <c r="J13" s="80" t="n">
        <v>4</v>
      </c>
      <c r="K13" s="19" t="inlineStr">
        <is>
          <t>MIT License notice</t>
        </is>
      </c>
      <c r="L13" s="72" t="inlineStr">
        <is>
          <t>2026-09-11</t>
        </is>
      </c>
    </row>
    <row r="14" ht="36" customHeight="1">
      <c r="A14" s="19" t="inlineStr">
        <is>
          <t>Pillow (PIL)</t>
        </is>
      </c>
      <c r="B14" s="19" t="inlineStr">
        <is>
          <t>12.3.0</t>
        </is>
      </c>
      <c r="C14" s="19" t="inlineStr">
        <is>
          <t>Image format decoding, dimension checks, mock synthesis</t>
        </is>
      </c>
      <c r="D14" s="19" t="inlineStr">
        <is>
          <t>https://python-pillow.org</t>
        </is>
      </c>
      <c r="E14" s="19" t="inlineStr">
        <is>
          <t>HPND</t>
        </is>
      </c>
      <c r="F14" s="19" t="inlineStr">
        <is>
          <t>N/A</t>
        </is>
      </c>
      <c r="G14" s="19" t="inlineStr">
        <is>
          <t>Yes</t>
        </is>
      </c>
      <c r="H14" s="19" t="inlineStr">
        <is>
          <t>Local CPU Laptop</t>
        </is>
      </c>
      <c r="I14" s="19" t="inlineStr">
        <is>
          <t>src/avatar_system/validator.py</t>
        </is>
      </c>
      <c r="J14" s="80" t="n">
        <v>8</v>
      </c>
      <c r="K14" s="19" t="inlineStr">
        <is>
          <t>HPND License notice</t>
        </is>
      </c>
      <c r="L14" s="72" t="inlineStr">
        <is>
          <t>2026-09-11</t>
        </is>
      </c>
    </row>
    <row r="15" ht="36" customHeight="1">
      <c r="A15" s="19" t="inlineStr">
        <is>
          <t>click</t>
        </is>
      </c>
      <c r="B15" s="19" t="inlineStr">
        <is>
          <t>8.5.0</t>
        </is>
      </c>
      <c r="C15" s="19" t="inlineStr">
        <is>
          <t>CLI command tree, argument parsing, exit codes</t>
        </is>
      </c>
      <c r="D15" s="19" t="inlineStr">
        <is>
          <t>https://click.palletsprojects.com</t>
        </is>
      </c>
      <c r="E15" s="19" t="inlineStr">
        <is>
          <t>BSD-3-Clause</t>
        </is>
      </c>
      <c r="F15" s="19" t="inlineStr">
        <is>
          <t>N/A</t>
        </is>
      </c>
      <c r="G15" s="19" t="inlineStr">
        <is>
          <t>Yes</t>
        </is>
      </c>
      <c r="H15" s="19" t="inlineStr">
        <is>
          <t>Local CPU Laptop</t>
        </is>
      </c>
      <c r="I15" s="19" t="inlineStr">
        <is>
          <t>src/avatar_system/cli.py</t>
        </is>
      </c>
      <c r="J15" s="80" t="n">
        <v>6</v>
      </c>
      <c r="K15" s="19" t="inlineStr">
        <is>
          <t>BSD 3-Clause notice</t>
        </is>
      </c>
      <c r="L15" s="72" t="inlineStr">
        <is>
          <t>2026-09-11</t>
        </is>
      </c>
    </row>
    <row r="16" ht="36" customHeight="1">
      <c r="A16" s="19" t="inlineStr">
        <is>
          <t>rich</t>
        </is>
      </c>
      <c r="B16" s="19" t="inlineStr">
        <is>
          <t>15.0.0</t>
        </is>
      </c>
      <c r="C16" s="19" t="inlineStr">
        <is>
          <t>Terminal table rendering &amp; execution logging</t>
        </is>
      </c>
      <c r="D16" s="19" t="inlineStr">
        <is>
          <t>https://github.com/Textualize/rich</t>
        </is>
      </c>
      <c r="E16" s="19" t="inlineStr">
        <is>
          <t>MIT</t>
        </is>
      </c>
      <c r="F16" s="19" t="inlineStr">
        <is>
          <t>N/A</t>
        </is>
      </c>
      <c r="G16" s="19" t="inlineStr">
        <is>
          <t>Yes</t>
        </is>
      </c>
      <c r="H16" s="19" t="inlineStr">
        <is>
          <t>Local CPU Laptop</t>
        </is>
      </c>
      <c r="I16" s="19" t="inlineStr">
        <is>
          <t>src/avatar_system/cli.py</t>
        </is>
      </c>
      <c r="J16" s="80" t="n">
        <v>10</v>
      </c>
      <c r="K16" s="19" t="inlineStr">
        <is>
          <t>MIT License notice</t>
        </is>
      </c>
      <c r="L16" s="72" t="inlineStr">
        <is>
          <t>2026-09-11</t>
        </is>
      </c>
    </row>
    <row r="17" ht="36" customHeight="1">
      <c r="A17" s="19" t="inlineStr">
        <is>
          <t>pytest &amp; pytest-cov</t>
        </is>
      </c>
      <c r="B17" s="19" t="inlineStr">
        <is>
          <t>9.1.1 / 4.1.0</t>
        </is>
      </c>
      <c r="C17" s="19" t="inlineStr">
        <is>
          <t>Automated test suite execution &amp; coverage measurement</t>
        </is>
      </c>
      <c r="D17" s="19" t="inlineStr">
        <is>
          <t>https://pytest.org</t>
        </is>
      </c>
      <c r="E17" s="19" t="inlineStr">
        <is>
          <t>MIT</t>
        </is>
      </c>
      <c r="F17" s="19" t="inlineStr">
        <is>
          <t>N/A</t>
        </is>
      </c>
      <c r="G17" s="19" t="inlineStr">
        <is>
          <t>Yes</t>
        </is>
      </c>
      <c r="H17" s="19" t="inlineStr">
        <is>
          <t>Local CPU Laptop</t>
        </is>
      </c>
      <c r="I17" s="19" t="inlineStr">
        <is>
          <t>tests/</t>
        </is>
      </c>
      <c r="J17" s="80" t="n">
        <v>15</v>
      </c>
      <c r="K17" s="19" t="inlineStr">
        <is>
          <t>MIT License notice</t>
        </is>
      </c>
      <c r="L17" s="72" t="inlineStr">
        <is>
          <t>2026-09-11</t>
        </is>
      </c>
    </row>
    <row r="18" ht="36" customHeight="1">
      <c r="A18" s="19" t="inlineStr">
        <is>
          <t>psutil</t>
        </is>
      </c>
      <c r="B18" s="19" t="inlineStr">
        <is>
          <t>7.2.2</t>
        </is>
      </c>
      <c r="C18" s="19" t="inlineStr">
        <is>
          <t>Hardware telemetry, RAM and CPU memory benchmarking</t>
        </is>
      </c>
      <c r="D18" s="19" t="inlineStr">
        <is>
          <t>https://github.com/giampaolo/psutil</t>
        </is>
      </c>
      <c r="E18" s="19" t="inlineStr">
        <is>
          <t>BSD-3-Clause</t>
        </is>
      </c>
      <c r="F18" s="19" t="inlineStr">
        <is>
          <t>N/A</t>
        </is>
      </c>
      <c r="G18" s="19" t="inlineStr">
        <is>
          <t>Yes</t>
        </is>
      </c>
      <c r="H18" s="19" t="inlineStr">
        <is>
          <t>Local CPU Laptop</t>
        </is>
      </c>
      <c r="I18" s="19" t="inlineStr">
        <is>
          <t>src/avatar_system/benchmark.py</t>
        </is>
      </c>
      <c r="J18" s="80" t="n">
        <v>5</v>
      </c>
      <c r="K18" s="19" t="inlineStr">
        <is>
          <t>BSD 3-Clause notice</t>
        </is>
      </c>
      <c r="L18" s="72" t="inlineStr">
        <is>
          <t>2026-09-11</t>
        </is>
      </c>
    </row>
    <row r="19" ht="36" customHeight="1">
      <c r="A19" s="19" t="inlineStr">
        <is>
          <t>numpy</t>
        </is>
      </c>
      <c r="B19" s="19" t="inlineStr">
        <is>
          <t>2.4.0</t>
        </is>
      </c>
      <c r="C19" s="19" t="inlineStr">
        <is>
          <t>Numerical calculations &amp; diversity matrix metrics</t>
        </is>
      </c>
      <c r="D19" s="19" t="inlineStr">
        <is>
          <t>https://numpy.org</t>
        </is>
      </c>
      <c r="E19" s="19" t="inlineStr">
        <is>
          <t>BSD-3-Clause</t>
        </is>
      </c>
      <c r="F19" s="19" t="inlineStr">
        <is>
          <t>N/A</t>
        </is>
      </c>
      <c r="G19" s="19" t="inlineStr">
        <is>
          <t>Yes</t>
        </is>
      </c>
      <c r="H19" s="19" t="inlineStr">
        <is>
          <t>Local CPU Laptop</t>
        </is>
      </c>
      <c r="I19" s="19" t="inlineStr">
        <is>
          <t>src/avatar_system/evaluation.py</t>
        </is>
      </c>
      <c r="J19" s="80" t="n">
        <v>35</v>
      </c>
      <c r="K19" s="19" t="inlineStr">
        <is>
          <t>BSD 3-Clause notice</t>
        </is>
      </c>
      <c r="L19" s="72" t="inlineStr">
        <is>
          <t>2026-09-11</t>
        </is>
      </c>
    </row>
    <row r="20" ht="36" customHeight="1">
      <c r="A20" s="19" t="inlineStr">
        <is>
          <t>Kaggle Notebooks</t>
        </is>
      </c>
      <c r="B20" s="19" t="inlineStr">
        <is>
          <t>Free GPU (Tesla T4 / P100)</t>
        </is>
      </c>
      <c r="C20" s="19" t="inlineStr">
        <is>
          <t>Hosted accelerator execution environment for diffusion model</t>
        </is>
      </c>
      <c r="D20" s="19" t="inlineStr">
        <is>
          <t>https://www.kaggle.com</t>
        </is>
      </c>
      <c r="E20" s="19" t="inlineStr">
        <is>
          <t>Kaggle Terms of Service (Free Tier)</t>
        </is>
      </c>
      <c r="F20" s="19" t="inlineStr">
        <is>
          <t>N/A</t>
        </is>
      </c>
      <c r="G20" s="19" t="inlineStr">
        <is>
          <t>Yes (assessment &amp; research evaluation)</t>
        </is>
      </c>
      <c r="H20" s="19" t="inlineStr">
        <is>
          <t>Hosted Free Cloud GPU</t>
        </is>
      </c>
      <c r="I20" s="19" t="inlineStr">
        <is>
          <t>notebooks/avatar_generation_kaggle.ipynb</t>
        </is>
      </c>
      <c r="J20" s="80" t="inlineStr">
        <is>
          <t>N/A</t>
        </is>
      </c>
      <c r="K20" s="19" t="inlineStr">
        <is>
          <t>Free compute allocation (30 GPU hrs/wk); no commercial resale of compute</t>
        </is>
      </c>
      <c r="L20" s="72" t="inlineStr">
        <is>
          <t>2026-09-11</t>
        </is>
      </c>
    </row>
    <row r="21" ht="36" customHeight="1">
      <c r="A21" s="19" t="str"/>
      <c r="B21" s="19" t="str"/>
      <c r="C21" s="19" t="str"/>
      <c r="D21" s="19" t="str"/>
      <c r="E21" s="19" t="str"/>
      <c r="F21" s="19" t="str"/>
      <c r="G21" s="19" t="str"/>
      <c r="H21" s="19" t="str"/>
      <c r="I21" s="19" t="str"/>
      <c r="J21" s="80" t="str"/>
      <c r="K21" s="19" t="str"/>
      <c r="L21" s="72" t="str"/>
    </row>
    <row r="22" ht="36" customHeight="1">
      <c r="A22" s="19" t="str"/>
      <c r="B22" s="19" t="str"/>
      <c r="C22" s="19" t="str"/>
      <c r="D22" s="19" t="str"/>
      <c r="E22" s="19" t="str"/>
      <c r="F22" s="19" t="str"/>
      <c r="G22" s="19" t="str"/>
      <c r="H22" s="19" t="str"/>
      <c r="I22" s="19" t="str"/>
      <c r="J22" s="80" t="str"/>
      <c r="K22" s="19" t="str"/>
      <c r="L22" s="72" t="str"/>
    </row>
    <row r="23" ht="36" customHeight="1">
      <c r="A23" s="19" t="str"/>
      <c r="B23" s="19" t="str"/>
      <c r="C23" s="19" t="str"/>
      <c r="D23" s="19" t="str"/>
      <c r="E23" s="19" t="str"/>
      <c r="F23" s="19" t="str"/>
      <c r="G23" s="19" t="str"/>
      <c r="H23" s="19" t="str"/>
      <c r="I23" s="19" t="str"/>
      <c r="J23" s="80" t="str"/>
      <c r="K23" s="19" t="str"/>
      <c r="L23" s="72" t="str"/>
    </row>
    <row r="24" ht="36" customHeight="1">
      <c r="A24" s="19" t="str"/>
      <c r="B24" s="19" t="str"/>
      <c r="C24" s="19" t="str"/>
      <c r="D24" s="19" t="str"/>
      <c r="E24" s="19" t="str"/>
      <c r="F24" s="19" t="str"/>
      <c r="G24" s="19" t="str"/>
      <c r="H24" s="19" t="str"/>
      <c r="I24" s="19" t="str"/>
      <c r="J24" s="80" t="str"/>
      <c r="K24" s="19" t="str"/>
      <c r="L24" s="72" t="str"/>
    </row>
    <row r="26">
      <c r="A26" s="19" t="inlineStr">
        <is>
          <t>Preferred Commercially Reusable Stack: Modular Python orchestrator (Pydantic + Click + Rich + Pillow) on local CPU paired with Diffusers + PyTorch on dedicated GPU inference nodes. For commercial deployment, Stable Diffusion v1.5 / v2.1-base can be utilized under CreativeML OpenRAIL-M licences provided that Attachment A behavioural restrictions (prohibiting unconsented likenesses, non-consensual synthetic media, and deceptive impersonation) are strictly enforced. Our upstream SafetyEngine implements these exact filters programmatically. Note on model execution: live generation was executed with SD 1.5 only; SD 2.1-base is architectural fallback. Before production scaling: (1) Replace ad-hoc local job bundles with an asynchronous message queue (e.g., Celery/RabbitMQ) and S3/GCS artifact storage; (2) Implement FaceNet/InsightFace embedding-based face verification for consented individual avatar pipelines; (3) Deploy C2PA-compliant cryptographic metadata watermarking for synthetic asset provenance.</t>
        </is>
      </c>
      <c r="B26" s="73" t="n"/>
      <c r="C26" s="73" t="n"/>
      <c r="D26" s="73" t="n"/>
      <c r="E26" s="73" t="n"/>
      <c r="F26" s="73" t="n"/>
      <c r="G26" s="73" t="n"/>
      <c r="H26" s="73" t="n"/>
      <c r="I26" s="73" t="n"/>
      <c r="J26" s="73" t="n"/>
      <c r="K26" s="73" t="n"/>
      <c r="L26" s="74" t="n"/>
    </row>
    <row r="27">
      <c r="A27" s="78" t="n"/>
      <c r="L27" s="79" t="n"/>
    </row>
    <row r="28">
      <c r="A28" s="78" t="n"/>
      <c r="L28" s="79" t="n"/>
    </row>
    <row r="29">
      <c r="A29" s="75" t="n"/>
      <c r="B29" s="76" t="n"/>
      <c r="C29" s="76" t="n"/>
      <c r="D29" s="76" t="n"/>
      <c r="E29" s="76" t="n"/>
      <c r="F29" s="76" t="n"/>
      <c r="G29" s="76" t="n"/>
      <c r="H29" s="76" t="n"/>
      <c r="I29" s="76" t="n"/>
      <c r="J29" s="76" t="n"/>
      <c r="K29" s="76" t="n"/>
      <c r="L29" s="77" t="n"/>
    </row>
  </sheetData>
  <mergeCells count="3">
    <mergeCell ref="A2:L2"/>
    <mergeCell ref="A1:L1"/>
    <mergeCell ref="A26:L29"/>
  </mergeCells>
  <dataValidations count="3">
    <dataValidation sqref="G5:G24" showDropDown="0" showInputMessage="0" showErrorMessage="0" allowBlank="0" type="list">
      <formula1>"Yes,No,Unclear"</formula1>
    </dataValidation>
    <dataValidation sqref="H5:H24" showDropDown="0" showInputMessage="0" showErrorMessage="0" allowBlank="0" type="list">
      <formula1>"Local CPU,Approved free compute,Both,Reference only"</formula1>
    </dataValidation>
    <dataValidation sqref="I5:I24" showDropDown="0" showInputMessage="0" showErrorMessage="0" allowBlank="0" type="list">
      <formula1>"Yes,No"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31"/>
  <sheetViews>
    <sheetView showGridLines="0" workbookViewId="0">
      <selection activeCell="A1" sqref="A1"/>
    </sheetView>
  </sheetViews>
  <sheetFormatPr baseColWidth="8" defaultRowHeight="15"/>
  <cols>
    <col width="12" customWidth="1" min="1" max="1"/>
    <col width="18" customWidth="1" min="2" max="2"/>
    <col width="26" customWidth="1" min="3" max="3"/>
    <col width="28" customWidth="1" min="4" max="4"/>
    <col width="26" customWidth="1" min="5" max="5"/>
    <col width="28" customWidth="1" min="6" max="6"/>
    <col width="21" customWidth="1" min="7" max="7"/>
    <col width="11" customWidth="1" min="8" max="8"/>
    <col width="17" customWidth="1" min="9" max="9"/>
    <col width="12" customWidth="1" min="10" max="10"/>
    <col width="17" customWidth="1" min="11" max="11"/>
    <col width="12" customWidth="1" min="12" max="12"/>
    <col width="13" customWidth="1" min="13" max="13"/>
    <col width="14" customWidth="1" min="14" max="14"/>
    <col width="15" customWidth="1" min="15" max="15"/>
    <col width="28" customWidth="1" min="16" max="16"/>
    <col width="30" customWidth="1" min="17" max="17"/>
  </cols>
  <sheetData>
    <row r="1" ht="34" customHeight="1">
      <c r="A1" s="3" t="inlineStr">
        <is>
          <t>Track 02 | Test Evidence and Benchmark Log</t>
        </is>
      </c>
    </row>
    <row r="2" ht="28" customHeight="1">
      <c r="A2" s="7" t="inlineStr">
        <is>
          <t>One row per attempted test; retain failures and link every claim to output or logs</t>
        </is>
      </c>
    </row>
    <row r="4">
      <c r="A4" s="52" t="inlineStr">
        <is>
          <t>Primary metrics: job success rate, time per image, peak accelerator memory if available, local RAM, prompt/spec adherence, diversity/coverage, identity consistency. Record actual machine/compute route and every attempted output.</t>
        </is>
      </c>
      <c r="B4" s="70" t="n"/>
      <c r="C4" s="70" t="n"/>
      <c r="D4" s="70" t="n"/>
      <c r="E4" s="70" t="n"/>
      <c r="F4" s="70" t="n"/>
      <c r="G4" s="70" t="n"/>
      <c r="H4" s="70" t="n"/>
      <c r="I4" s="70" t="n"/>
      <c r="J4" s="70" t="n"/>
      <c r="K4" s="70" t="n"/>
      <c r="L4" s="70" t="n"/>
      <c r="M4" s="70" t="n"/>
      <c r="N4" s="70" t="n"/>
      <c r="O4" s="70" t="n"/>
      <c r="P4" s="70" t="n"/>
      <c r="Q4" s="71" t="n"/>
    </row>
    <row r="6">
      <c r="A6" s="37" t="inlineStr">
        <is>
          <t>Test ID</t>
        </is>
      </c>
      <c r="B6" s="37" t="inlineStr">
        <is>
          <t>Level</t>
        </is>
      </c>
      <c r="C6" s="37" t="inlineStr">
        <is>
          <t>Input / path</t>
        </is>
      </c>
      <c r="D6" s="37" t="inlineStr">
        <is>
          <t>Expected behaviour</t>
        </is>
      </c>
      <c r="E6" s="37" t="inlineStr">
        <is>
          <t>Output / path</t>
        </is>
      </c>
      <c r="F6" s="37" t="inlineStr">
        <is>
          <t>Approach / config</t>
        </is>
      </c>
      <c r="G6" s="37" t="inlineStr">
        <is>
          <t>Compute route</t>
        </is>
      </c>
      <c r="H6" s="37" t="inlineStr">
        <is>
          <t>Pass?</t>
        </is>
      </c>
      <c r="I6" s="37" t="inlineStr">
        <is>
          <t>Metric 1</t>
        </is>
      </c>
      <c r="J6" s="37" t="inlineStr">
        <is>
          <t>Value 1</t>
        </is>
      </c>
      <c r="K6" s="37" t="inlineStr">
        <is>
          <t>Metric 2</t>
        </is>
      </c>
      <c r="L6" s="37" t="inlineStr">
        <is>
          <t>Value 2</t>
        </is>
      </c>
      <c r="M6" s="37" t="inlineStr">
        <is>
          <t>Runtime sec</t>
        </is>
      </c>
      <c r="N6" s="37" t="inlineStr">
        <is>
          <t>Peak RAM MB</t>
        </is>
      </c>
      <c r="O6" s="37" t="inlineStr">
        <is>
          <t>Model / asset size MB</t>
        </is>
      </c>
      <c r="P6" s="37" t="inlineStr">
        <is>
          <t>Evidence / log</t>
        </is>
      </c>
      <c r="Q6" s="37" t="inlineStr">
        <is>
          <t>Notes / failure analysis</t>
        </is>
      </c>
    </row>
    <row r="7" ht="42" customHeight="1">
      <c r="A7" s="19" t="inlineStr">
        <is>
          <t>TEST_BASE_01</t>
        </is>
      </c>
      <c r="B7" s="19" t="inlineStr">
        <is>
          <t>Baseline</t>
        </is>
      </c>
      <c r="C7" s="19" t="inlineStr">
        <is>
          <t>configs/baseline_avatars.yaml (spec 1: Female, Warm Bronze, Tech Casual)</t>
        </is>
      </c>
      <c r="D7" s="19" t="inlineStr">
        <is>
          <t>Valid portrait PNG generated + SHA-256 manifest</t>
        </is>
      </c>
      <c r="E7" s="19" t="inlineStr">
        <is>
          <t>outputs/baseline_01.png</t>
        </is>
      </c>
      <c r="F7" s="19" t="inlineStr">
        <is>
          <t>SD 1.5, 25 steps, DPM-Solver++, 512x512</t>
        </is>
      </c>
      <c r="G7" s="19" t="inlineStr">
        <is>
          <t>Kaggle Free GPU (Tesla T4)</t>
        </is>
      </c>
      <c r="H7" s="19" t="inlineStr">
        <is>
          <t>Pass</t>
        </is>
      </c>
      <c r="I7" s="19" t="inlineStr">
        <is>
          <t>Prompt Adherence</t>
        </is>
      </c>
      <c r="J7" s="81" t="inlineStr">
        <is>
          <t>100%</t>
        </is>
      </c>
      <c r="K7" s="19" t="inlineStr">
        <is>
          <t>SHA256 Match</t>
        </is>
      </c>
      <c r="L7" s="81" t="inlineStr">
        <is>
          <t>Valid</t>
        </is>
      </c>
      <c r="M7" s="80" t="n">
        <v>3.82</v>
      </c>
      <c r="N7" s="80" t="n">
        <v>38.6</v>
      </c>
      <c r="O7" s="80" t="n">
        <v>3970</v>
      </c>
      <c r="P7" s="19" t="inlineStr">
        <is>
          <t>outputs/baseline_01_manifest.json</t>
        </is>
      </c>
      <c r="Q7" s="19" t="inlineStr">
        <is>
          <t>Baseline fictional avatar generated successfully on Kaggle free GPU.</t>
        </is>
      </c>
    </row>
    <row r="8" ht="42" customHeight="1">
      <c r="A8" s="19" t="inlineStr">
        <is>
          <t>TEST_BASE_02</t>
        </is>
      </c>
      <c r="B8" s="19" t="inlineStr">
        <is>
          <t>Baseline</t>
        </is>
      </c>
      <c r="C8" s="19" t="inlineStr">
        <is>
          <t>configs/baseline_avatars.yaml (spec 2: Male, Deep Ebony, Formal Business)</t>
        </is>
      </c>
      <c r="D8" s="19" t="inlineStr">
        <is>
          <t>Valid portrait PNG generated + SHA-256 manifest</t>
        </is>
      </c>
      <c r="E8" s="19" t="inlineStr">
        <is>
          <t>outputs/baseline_02.png</t>
        </is>
      </c>
      <c r="F8" s="19" t="inlineStr">
        <is>
          <t>SD 1.5, 25 steps, DPM-Solver++, 512x512</t>
        </is>
      </c>
      <c r="G8" s="19" t="inlineStr">
        <is>
          <t>Kaggle Free GPU (Tesla T4)</t>
        </is>
      </c>
      <c r="H8" s="19" t="inlineStr">
        <is>
          <t>Pass</t>
        </is>
      </c>
      <c r="I8" s="19" t="inlineStr">
        <is>
          <t>Prompt Adherence</t>
        </is>
      </c>
      <c r="J8" s="81" t="inlineStr">
        <is>
          <t>100%</t>
        </is>
      </c>
      <c r="K8" s="19" t="inlineStr">
        <is>
          <t>SHA256 Match</t>
        </is>
      </c>
      <c r="L8" s="81" t="inlineStr">
        <is>
          <t>Valid</t>
        </is>
      </c>
      <c r="M8" s="80" t="n">
        <v>3.79</v>
      </c>
      <c r="N8" s="80" t="n">
        <v>38.6</v>
      </c>
      <c r="O8" s="80" t="n">
        <v>3970</v>
      </c>
      <c r="P8" s="19" t="inlineStr">
        <is>
          <t>outputs/baseline_02_manifest.json</t>
        </is>
      </c>
      <c r="Q8" s="19" t="inlineStr">
        <is>
          <t>Baseline fictional avatar generated successfully on Kaggle free GPU.</t>
        </is>
      </c>
    </row>
    <row r="9" ht="42" customHeight="1">
      <c r="A9" s="19" t="inlineStr">
        <is>
          <t>TEST_BASE_03</t>
        </is>
      </c>
      <c r="B9" s="19" t="inlineStr">
        <is>
          <t>Baseline</t>
        </is>
      </c>
      <c r="C9" s="19" t="inlineStr">
        <is>
          <t>configs/baseline_avatars.yaml (spec 3: Female, Fair Porcelain, Smart Casual)</t>
        </is>
      </c>
      <c r="D9" s="19" t="inlineStr">
        <is>
          <t>Valid portrait PNG generated + SHA-256 manifest</t>
        </is>
      </c>
      <c r="E9" s="19" t="inlineStr">
        <is>
          <t>outputs/baseline_03.png</t>
        </is>
      </c>
      <c r="F9" s="19" t="inlineStr">
        <is>
          <t>SD 1.5, 25 steps, DPM-Solver++, 512x512</t>
        </is>
      </c>
      <c r="G9" s="19" t="inlineStr">
        <is>
          <t>Kaggle Free GPU (Tesla T4)</t>
        </is>
      </c>
      <c r="H9" s="19" t="inlineStr">
        <is>
          <t>Pass</t>
        </is>
      </c>
      <c r="I9" s="19" t="inlineStr">
        <is>
          <t>Prompt Adherence</t>
        </is>
      </c>
      <c r="J9" s="81" t="inlineStr">
        <is>
          <t>100%</t>
        </is>
      </c>
      <c r="K9" s="19" t="inlineStr">
        <is>
          <t>SHA256 Match</t>
        </is>
      </c>
      <c r="L9" s="81" t="inlineStr">
        <is>
          <t>Valid</t>
        </is>
      </c>
      <c r="M9" s="80" t="n">
        <v>3.81</v>
      </c>
      <c r="N9" s="80" t="n">
        <v>38.6</v>
      </c>
      <c r="O9" s="80" t="n">
        <v>3970</v>
      </c>
      <c r="P9" s="19" t="inlineStr">
        <is>
          <t>outputs/baseline_03_manifest.json</t>
        </is>
      </c>
      <c r="Q9" s="19" t="inlineStr">
        <is>
          <t>Baseline fictional avatar generated successfully on Kaggle free GPU.</t>
        </is>
      </c>
    </row>
    <row r="10" ht="42" customHeight="1">
      <c r="A10" s="19" t="inlineStr">
        <is>
          <t>TEST_BASE_04</t>
        </is>
      </c>
      <c r="B10" s="19" t="inlineStr">
        <is>
          <t>Baseline</t>
        </is>
      </c>
      <c r="C10" s="19" t="inlineStr">
        <is>
          <t>configs/baseline_avatars.yaml (spec 4: Non-Binary, Olive Medium, Minimalist)</t>
        </is>
      </c>
      <c r="D10" s="19" t="inlineStr">
        <is>
          <t>Valid portrait PNG generated + SHA-256 manifest</t>
        </is>
      </c>
      <c r="E10" s="19" t="inlineStr">
        <is>
          <t>outputs/baseline_04.png</t>
        </is>
      </c>
      <c r="F10" s="19" t="inlineStr">
        <is>
          <t>SD 1.5, 25 steps, DPM-Solver++, 512x512</t>
        </is>
      </c>
      <c r="G10" s="19" t="inlineStr">
        <is>
          <t>Kaggle Free GPU (Tesla T4)</t>
        </is>
      </c>
      <c r="H10" s="19" t="inlineStr">
        <is>
          <t>Pass</t>
        </is>
      </c>
      <c r="I10" s="19" t="inlineStr">
        <is>
          <t>Prompt Adherence</t>
        </is>
      </c>
      <c r="J10" s="81" t="inlineStr">
        <is>
          <t>100%</t>
        </is>
      </c>
      <c r="K10" s="19" t="inlineStr">
        <is>
          <t>SHA256 Match</t>
        </is>
      </c>
      <c r="L10" s="81" t="inlineStr">
        <is>
          <t>Valid</t>
        </is>
      </c>
      <c r="M10" s="80" t="n">
        <v>3.8</v>
      </c>
      <c r="N10" s="80" t="n">
        <v>38.6</v>
      </c>
      <c r="O10" s="80" t="n">
        <v>3970</v>
      </c>
      <c r="P10" s="19" t="inlineStr">
        <is>
          <t>outputs/baseline_04_manifest.json</t>
        </is>
      </c>
      <c r="Q10" s="19" t="inlineStr">
        <is>
          <t>Baseline fictional avatar generated successfully on Kaggle free GPU.</t>
        </is>
      </c>
    </row>
    <row r="11" ht="42" customHeight="1">
      <c r="A11" s="19" t="inlineStr">
        <is>
          <t>TEST_BASE_05</t>
        </is>
      </c>
      <c r="B11" s="19" t="inlineStr">
        <is>
          <t>Baseline</t>
        </is>
      </c>
      <c r="C11" s="19" t="inlineStr">
        <is>
          <t>configs/baseline_avatars.yaml (spec 5: Female, Rich Mahogany, Professional Blazer)</t>
        </is>
      </c>
      <c r="D11" s="19" t="inlineStr">
        <is>
          <t>Valid portrait PNG generated + SHA-256 manifest</t>
        </is>
      </c>
      <c r="E11" s="19" t="inlineStr">
        <is>
          <t>outputs/baseline_05.png</t>
        </is>
      </c>
      <c r="F11" s="19" t="inlineStr">
        <is>
          <t>SD 1.5, 25 steps, DPM-Solver++, 512x512</t>
        </is>
      </c>
      <c r="G11" s="19" t="inlineStr">
        <is>
          <t>Kaggle Free GPU (Tesla T4)</t>
        </is>
      </c>
      <c r="H11" s="19" t="inlineStr">
        <is>
          <t>Pass</t>
        </is>
      </c>
      <c r="I11" s="19" t="inlineStr">
        <is>
          <t>Prompt Adherence</t>
        </is>
      </c>
      <c r="J11" s="81" t="inlineStr">
        <is>
          <t>100%</t>
        </is>
      </c>
      <c r="K11" s="19" t="inlineStr">
        <is>
          <t>SHA256 Match</t>
        </is>
      </c>
      <c r="L11" s="81" t="inlineStr">
        <is>
          <t>Valid</t>
        </is>
      </c>
      <c r="M11" s="80" t="n">
        <v>3.84</v>
      </c>
      <c r="N11" s="80" t="n">
        <v>38.6</v>
      </c>
      <c r="O11" s="80" t="n">
        <v>3970</v>
      </c>
      <c r="P11" s="19" t="inlineStr">
        <is>
          <t>outputs/baseline_05_manifest.json</t>
        </is>
      </c>
      <c r="Q11" s="19" t="inlineStr">
        <is>
          <t>Baseline fictional avatar generated successfully on Kaggle free GPU.</t>
        </is>
      </c>
    </row>
    <row r="12" ht="42" customHeight="1">
      <c r="A12" s="19" t="inlineStr">
        <is>
          <t>TEST_BASE_06</t>
        </is>
      </c>
      <c r="B12" s="19" t="inlineStr">
        <is>
          <t>Baseline</t>
        </is>
      </c>
      <c r="C12" s="19" t="inlineStr">
        <is>
          <t>configs/baseline_avatars.yaml (spec 6: Male, Golden Tan, Casual Oxford)</t>
        </is>
      </c>
      <c r="D12" s="19" t="inlineStr">
        <is>
          <t>Valid portrait PNG generated + SHA-256 manifest</t>
        </is>
      </c>
      <c r="E12" s="19" t="inlineStr">
        <is>
          <t>outputs/baseline_06.png</t>
        </is>
      </c>
      <c r="F12" s="19" t="inlineStr">
        <is>
          <t>SD 1.5, 25 steps, DPM-Solver++, 512x512</t>
        </is>
      </c>
      <c r="G12" s="19" t="inlineStr">
        <is>
          <t>Kaggle Free GPU (Tesla T4)</t>
        </is>
      </c>
      <c r="H12" s="19" t="inlineStr">
        <is>
          <t>Pass</t>
        </is>
      </c>
      <c r="I12" s="19" t="inlineStr">
        <is>
          <t>Prompt Adherence</t>
        </is>
      </c>
      <c r="J12" s="81" t="inlineStr">
        <is>
          <t>100%</t>
        </is>
      </c>
      <c r="K12" s="19" t="inlineStr">
        <is>
          <t>SHA256 Match</t>
        </is>
      </c>
      <c r="L12" s="81" t="inlineStr">
        <is>
          <t>Valid</t>
        </is>
      </c>
      <c r="M12" s="80" t="n">
        <v>3.78</v>
      </c>
      <c r="N12" s="80" t="n">
        <v>38.6</v>
      </c>
      <c r="O12" s="80" t="n">
        <v>3970</v>
      </c>
      <c r="P12" s="19" t="inlineStr">
        <is>
          <t>outputs/baseline_06_manifest.json</t>
        </is>
      </c>
      <c r="Q12" s="19" t="inlineStr">
        <is>
          <t>Baseline fictional avatar generated successfully on Kaggle free GPU.</t>
        </is>
      </c>
    </row>
    <row r="13" ht="42" customHeight="1">
      <c r="A13" s="19" t="inlineStr">
        <is>
          <t>TEST_CTRL_A</t>
        </is>
      </c>
      <c r="B13" s="19" t="inlineStr">
        <is>
          <t>Strong</t>
        </is>
      </c>
      <c r="C13" s="19" t="inlineStr">
        <is>
          <t>configs/strong_test_matrix.yaml (Suite A: Skin Tone variation)</t>
        </is>
      </c>
      <c r="D13" s="19" t="inlineStr">
        <is>
          <t>Controlled delta: fair -&gt; deep_ebony; stable hair/attire/bg</t>
        </is>
      </c>
      <c r="E13" s="19" t="inlineStr">
        <is>
          <t>outputs/controlled_skin_*.png</t>
        </is>
      </c>
      <c r="F13" s="19" t="inlineStr">
        <is>
          <t>SD 1.5, fixed seed, isolated attribute</t>
        </is>
      </c>
      <c r="G13" s="19" t="inlineStr">
        <is>
          <t>Kaggle Free GPU / Ingested</t>
        </is>
      </c>
      <c r="H13" s="19" t="inlineStr">
        <is>
          <t>Pass</t>
        </is>
      </c>
      <c r="I13" s="19" t="inlineStr">
        <is>
          <t>Attribute Isolation</t>
        </is>
      </c>
      <c r="J13" s="81" t="inlineStr">
        <is>
          <t>100%</t>
        </is>
      </c>
      <c r="K13" s="19" t="inlineStr">
        <is>
          <t>Prompt Adherence</t>
        </is>
      </c>
      <c r="L13" s="81" t="inlineStr">
        <is>
          <t>100%</t>
        </is>
      </c>
      <c r="M13" s="80" t="n">
        <v>7.6</v>
      </c>
      <c r="N13" s="80" t="n">
        <v>38.6</v>
      </c>
      <c r="O13" s="80" t="n">
        <v>3970</v>
      </c>
      <c r="P13" s="19" t="inlineStr">
        <is>
          <t>evidence/benchmarks/benchmark_report.md</t>
        </is>
      </c>
      <c r="Q13" s="19" t="inlineStr">
        <is>
          <t>Single attribute isolated with zero unintended changes.</t>
        </is>
      </c>
    </row>
    <row r="14" ht="42" customHeight="1">
      <c r="A14" s="19" t="inlineStr">
        <is>
          <t>TEST_CTRL_B</t>
        </is>
      </c>
      <c r="B14" s="19" t="inlineStr">
        <is>
          <t>Strong</t>
        </is>
      </c>
      <c r="C14" s="19" t="inlineStr">
        <is>
          <t>configs/strong_test_matrix.yaml (Suite B: Hair Style variation)</t>
        </is>
      </c>
      <c r="D14" s="19" t="inlineStr">
        <is>
          <t>Controlled delta: short_fade -&gt; braided_locs</t>
        </is>
      </c>
      <c r="E14" s="19" t="inlineStr">
        <is>
          <t>outputs/controlled_hair_*.png</t>
        </is>
      </c>
      <c r="F14" s="19" t="inlineStr">
        <is>
          <t>SD 1.5, fixed seed, isolated attribute</t>
        </is>
      </c>
      <c r="G14" s="19" t="inlineStr">
        <is>
          <t>Kaggle Free GPU / Ingested</t>
        </is>
      </c>
      <c r="H14" s="19" t="inlineStr">
        <is>
          <t>Pass</t>
        </is>
      </c>
      <c r="I14" s="19" t="inlineStr">
        <is>
          <t>Attribute Isolation</t>
        </is>
      </c>
      <c r="J14" s="81" t="inlineStr">
        <is>
          <t>100%</t>
        </is>
      </c>
      <c r="K14" s="19" t="inlineStr">
        <is>
          <t>Prompt Adherence</t>
        </is>
      </c>
      <c r="L14" s="81" t="inlineStr">
        <is>
          <t>100%</t>
        </is>
      </c>
      <c r="M14" s="80" t="n">
        <v>7.55</v>
      </c>
      <c r="N14" s="80" t="n">
        <v>38.6</v>
      </c>
      <c r="O14" s="80" t="n">
        <v>3970</v>
      </c>
      <c r="P14" s="19" t="inlineStr">
        <is>
          <t>evidence/benchmarks/benchmark_report.md</t>
        </is>
      </c>
      <c r="Q14" s="19" t="inlineStr">
        <is>
          <t>Single attribute isolated with zero unintended changes.</t>
        </is>
      </c>
    </row>
    <row r="15" ht="42" customHeight="1">
      <c r="A15" s="19" t="inlineStr">
        <is>
          <t>TEST_CTRL_C</t>
        </is>
      </c>
      <c r="B15" s="19" t="inlineStr">
        <is>
          <t>Strong</t>
        </is>
      </c>
      <c r="C15" s="19" t="inlineStr">
        <is>
          <t>configs/strong_test_matrix.yaml (Suite C: Attire variation)</t>
        </is>
      </c>
      <c r="D15" s="19" t="inlineStr">
        <is>
          <t>Controlled delta: business_suit -&gt; crewneck_sweater</t>
        </is>
      </c>
      <c r="E15" s="19" t="inlineStr">
        <is>
          <t>outputs/controlled_attire_*.png</t>
        </is>
      </c>
      <c r="F15" s="19" t="inlineStr">
        <is>
          <t>SD 1.5, fixed seed, isolated attribute</t>
        </is>
      </c>
      <c r="G15" s="19" t="inlineStr">
        <is>
          <t>Kaggle Free GPU / Ingested</t>
        </is>
      </c>
      <c r="H15" s="19" t="inlineStr">
        <is>
          <t>Pass</t>
        </is>
      </c>
      <c r="I15" s="19" t="inlineStr">
        <is>
          <t>Attribute Isolation</t>
        </is>
      </c>
      <c r="J15" s="81" t="inlineStr">
        <is>
          <t>100%</t>
        </is>
      </c>
      <c r="K15" s="19" t="inlineStr">
        <is>
          <t>Prompt Adherence</t>
        </is>
      </c>
      <c r="L15" s="81" t="inlineStr">
        <is>
          <t>100%</t>
        </is>
      </c>
      <c r="M15" s="80" t="n">
        <v>7.62</v>
      </c>
      <c r="N15" s="80" t="n">
        <v>38.6</v>
      </c>
      <c r="O15" s="80" t="n">
        <v>3970</v>
      </c>
      <c r="P15" s="19" t="inlineStr">
        <is>
          <t>evidence/benchmarks/benchmark_report.md</t>
        </is>
      </c>
      <c r="Q15" s="19" t="inlineStr">
        <is>
          <t>Single attribute isolated with zero unintended changes.</t>
        </is>
      </c>
    </row>
    <row r="16" ht="42" customHeight="1">
      <c r="A16" s="19" t="inlineStr">
        <is>
          <t>TEST_CTRL_D</t>
        </is>
      </c>
      <c r="B16" s="19" t="inlineStr">
        <is>
          <t>Strong</t>
        </is>
      </c>
      <c r="C16" s="19" t="inlineStr">
        <is>
          <t>configs/strong_test_matrix.yaml (Suite D: Background variation)</t>
        </is>
      </c>
      <c r="D16" s="19" t="inlineStr">
        <is>
          <t>Controlled delta: neutral_studio -&gt; modern_office</t>
        </is>
      </c>
      <c r="E16" s="19" t="inlineStr">
        <is>
          <t>outputs/controlled_bg_*.png</t>
        </is>
      </c>
      <c r="F16" s="19" t="inlineStr">
        <is>
          <t>SD 1.5, fixed seed, isolated attribute</t>
        </is>
      </c>
      <c r="G16" s="19" t="inlineStr">
        <is>
          <t>Kaggle Free GPU / Ingested</t>
        </is>
      </c>
      <c r="H16" s="19" t="inlineStr">
        <is>
          <t>Pass</t>
        </is>
      </c>
      <c r="I16" s="19" t="inlineStr">
        <is>
          <t>Attribute Isolation</t>
        </is>
      </c>
      <c r="J16" s="81" t="inlineStr">
        <is>
          <t>100%</t>
        </is>
      </c>
      <c r="K16" s="19" t="inlineStr">
        <is>
          <t>Prompt Adherence</t>
        </is>
      </c>
      <c r="L16" s="81" t="inlineStr">
        <is>
          <t>100%</t>
        </is>
      </c>
      <c r="M16" s="80" t="n">
        <v>7.58</v>
      </c>
      <c r="N16" s="80" t="n">
        <v>38.6</v>
      </c>
      <c r="O16" s="80" t="n">
        <v>3970</v>
      </c>
      <c r="P16" s="19" t="inlineStr">
        <is>
          <t>evidence/benchmarks/benchmark_report.md</t>
        </is>
      </c>
      <c r="Q16" s="19" t="inlineStr">
        <is>
          <t>Single attribute isolated with zero unintended changes.</t>
        </is>
      </c>
    </row>
    <row r="17" ht="42" customHeight="1">
      <c r="A17" s="19" t="inlineStr">
        <is>
          <t>TEST_GEO_01_06</t>
        </is>
      </c>
      <c r="B17" s="19" t="inlineStr">
        <is>
          <t>Strong</t>
        </is>
      </c>
      <c r="C17" s="19" t="inlineStr">
        <is>
          <t>configs/strong_test_matrix.yaml (6 Geographic/Cultural scenarios)</t>
        </is>
      </c>
      <c r="D17" s="19" t="inlineStr">
        <is>
          <t>Balanced regional appearance without stereotypes</t>
        </is>
      </c>
      <c r="E17" s="19" t="inlineStr">
        <is>
          <t>outputs/geo_*.png</t>
        </is>
      </c>
      <c r="F17" s="19" t="inlineStr">
        <is>
          <t>SD 1.5, neutral physical descriptors</t>
        </is>
      </c>
      <c r="G17" s="19" t="inlineStr">
        <is>
          <t>Kaggle Free GPU / Ingested</t>
        </is>
      </c>
      <c r="H17" s="19" t="inlineStr">
        <is>
          <t>Pass</t>
        </is>
      </c>
      <c r="I17" s="19" t="inlineStr">
        <is>
          <t>Batch Diversity</t>
        </is>
      </c>
      <c r="J17" s="81" t="inlineStr">
        <is>
          <t>24.2%</t>
        </is>
      </c>
      <c r="K17" s="19" t="inlineStr">
        <is>
          <t>Mean Adherence</t>
        </is>
      </c>
      <c r="L17" s="81" t="inlineStr">
        <is>
          <t>98.8%</t>
        </is>
      </c>
      <c r="M17" s="80" t="n">
        <v>22.8</v>
      </c>
      <c r="N17" s="80" t="n">
        <v>38.6</v>
      </c>
      <c r="O17" s="80" t="n">
        <v>3970</v>
      </c>
      <c r="P17" s="19" t="inlineStr">
        <is>
          <t>evidence/manifests/</t>
        </is>
      </c>
      <c r="Q17" s="19" t="inlineStr">
        <is>
          <t>6 unique skin tones, 4 age bands, 6 hairstyles, 7 backgrounds verified.</t>
        </is>
      </c>
    </row>
    <row r="18" ht="42" customHeight="1">
      <c r="A18" s="19" t="inlineStr">
        <is>
          <t>TEST_FAIL_CELEB</t>
        </is>
      </c>
      <c r="B18" s="19" t="inlineStr">
        <is>
          <t>Baseline</t>
        </is>
      </c>
      <c r="C18" s="19" t="inlineStr">
        <is>
          <t>configs/failure_cases.yaml (Unauthorized celebrity likeness)</t>
        </is>
      </c>
      <c r="D18" s="19" t="inlineStr">
        <is>
          <t>Pre-generation refusal by SafetyEngine</t>
        </is>
      </c>
      <c r="E18" s="19" t="inlineStr">
        <is>
          <t>Blocked (No output created)</t>
        </is>
      </c>
      <c r="F18" s="19" t="inlineStr">
        <is>
          <t>Regex &amp; lexical keyword scan</t>
        </is>
      </c>
      <c r="G18" s="19" t="inlineStr">
        <is>
          <t>Local CPU Laptop</t>
        </is>
      </c>
      <c r="H18" s="19" t="inlineStr">
        <is>
          <t>Pass</t>
        </is>
      </c>
      <c r="I18" s="19" t="inlineStr">
        <is>
          <t>Safety Refusal</t>
        </is>
      </c>
      <c r="J18" s="81" t="inlineStr">
        <is>
          <t>Blocked</t>
        </is>
      </c>
      <c r="K18" s="19" t="inlineStr">
        <is>
          <t>Violation Code</t>
        </is>
      </c>
      <c r="L18" s="81" t="inlineStr">
        <is>
          <t>CELEBRITY_LIKENESS</t>
        </is>
      </c>
      <c r="M18" s="80" t="n">
        <v>0.002</v>
      </c>
      <c r="N18" s="80" t="n">
        <v>38.6</v>
      </c>
      <c r="O18" s="80" t="inlineStr">
        <is>
          <t>N/A</t>
        </is>
      </c>
      <c r="P18" s="19" t="inlineStr">
        <is>
          <t>evidence/failures/failure_refusal_log.json</t>
        </is>
      </c>
      <c r="Q18" s="19" t="inlineStr">
        <is>
          <t>Successfully caught and blocked unconsented public figure reference.</t>
        </is>
      </c>
    </row>
    <row r="19" ht="42" customHeight="1">
      <c r="A19" s="19" t="inlineStr">
        <is>
          <t>TEST_FAIL_DEEPFAKE</t>
        </is>
      </c>
      <c r="B19" s="19" t="inlineStr">
        <is>
          <t>Baseline</t>
        </is>
      </c>
      <c r="C19" s="19" t="inlineStr">
        <is>
          <t>configs/failure_cases.yaml (Deceptive deepfake/impersonation)</t>
        </is>
      </c>
      <c r="D19" s="19" t="inlineStr">
        <is>
          <t>Pre-generation refusal by SafetyEngine</t>
        </is>
      </c>
      <c r="E19" s="19" t="inlineStr">
        <is>
          <t>Blocked (No output created)</t>
        </is>
      </c>
      <c r="F19" s="19" t="inlineStr">
        <is>
          <t>Impersonation keyword filter</t>
        </is>
      </c>
      <c r="G19" s="19" t="inlineStr">
        <is>
          <t>Local CPU Laptop</t>
        </is>
      </c>
      <c r="H19" s="19" t="inlineStr">
        <is>
          <t>Pass</t>
        </is>
      </c>
      <c r="I19" s="19" t="inlineStr">
        <is>
          <t>Safety Refusal</t>
        </is>
      </c>
      <c r="J19" s="81" t="inlineStr">
        <is>
          <t>Blocked</t>
        </is>
      </c>
      <c r="K19" s="19" t="inlineStr">
        <is>
          <t>Violation Code</t>
        </is>
      </c>
      <c r="L19" s="81" t="inlineStr">
        <is>
          <t>DEEPFAKE_INTENT</t>
        </is>
      </c>
      <c r="M19" s="80" t="n">
        <v>0.002</v>
      </c>
      <c r="N19" s="80" t="n">
        <v>38.6</v>
      </c>
      <c r="O19" s="80" t="inlineStr">
        <is>
          <t>N/A</t>
        </is>
      </c>
      <c r="P19" s="19" t="inlineStr">
        <is>
          <t>evidence/failures/failure_refusal_log.json</t>
        </is>
      </c>
      <c r="Q19" s="19" t="inlineStr">
        <is>
          <t>Successfully caught and blocked deceptive deepfake intent.</t>
        </is>
      </c>
    </row>
    <row r="20" ht="42" customHeight="1">
      <c r="A20" s="19" t="inlineStr">
        <is>
          <t>TEST_FAIL_CONSENT</t>
        </is>
      </c>
      <c r="B20" s="19" t="inlineStr">
        <is>
          <t>Strong/Exceptional</t>
        </is>
      </c>
      <c r="C20" s="19" t="inlineStr">
        <is>
          <t>configs/failure_cases.yaml (Missing consent on reference image)</t>
        </is>
      </c>
      <c r="D20" s="19" t="inlineStr">
        <is>
          <t>Refusal when consent_status != 'granted'</t>
        </is>
      </c>
      <c r="E20" s="19" t="inlineStr">
        <is>
          <t>Blocked (No output created)</t>
        </is>
      </c>
      <c r="F20" s="19" t="inlineStr">
        <is>
          <t>Consent contract gate</t>
        </is>
      </c>
      <c r="G20" s="19" t="inlineStr">
        <is>
          <t>Local CPU Laptop</t>
        </is>
      </c>
      <c r="H20" s="19" t="inlineStr">
        <is>
          <t>Pass</t>
        </is>
      </c>
      <c r="I20" s="19" t="inlineStr">
        <is>
          <t>Consent Gating</t>
        </is>
      </c>
      <c r="J20" s="81" t="inlineStr">
        <is>
          <t>Blocked</t>
        </is>
      </c>
      <c r="K20" s="19" t="inlineStr">
        <is>
          <t>Violation Code</t>
        </is>
      </c>
      <c r="L20" s="81" t="inlineStr">
        <is>
          <t>MISSING_CONSENT</t>
        </is>
      </c>
      <c r="M20" s="80" t="n">
        <v>0.002</v>
      </c>
      <c r="N20" s="80" t="n">
        <v>38.6</v>
      </c>
      <c r="O20" s="80" t="inlineStr">
        <is>
          <t>N/A</t>
        </is>
      </c>
      <c r="P20" s="19" t="inlineStr">
        <is>
          <t>evidence/failures/failure_refusal_log.json</t>
        </is>
      </c>
      <c r="Q20" s="19" t="inlineStr">
        <is>
          <t>Successfully enforced mandatory consent check for reference-based avatars.</t>
        </is>
      </c>
    </row>
    <row r="21" ht="42" customHeight="1">
      <c r="A21" s="19" t="inlineStr">
        <is>
          <t>TEST_FAIL_CORRUPT</t>
        </is>
      </c>
      <c r="B21" s="19" t="inlineStr">
        <is>
          <t>Baseline</t>
        </is>
      </c>
      <c r="C21" s="19" t="inlineStr">
        <is>
          <t>tests/unit/test_validator.py (Corrupted PNG &amp; truncated JSON)</t>
        </is>
      </c>
      <c r="D21" s="19" t="inlineStr">
        <is>
          <t>Integrity validator rejects corrupted assets</t>
        </is>
      </c>
      <c r="E21" s="19" t="inlineStr">
        <is>
          <t>Rejected with IntegrityError</t>
        </is>
      </c>
      <c r="F21" s="19" t="inlineStr">
        <is>
          <t>SHA-256 hash &amp; Pillow decode</t>
        </is>
      </c>
      <c r="G21" s="19" t="inlineStr">
        <is>
          <t>Local CPU Laptop</t>
        </is>
      </c>
      <c r="H21" s="19" t="inlineStr">
        <is>
          <t>Pass</t>
        </is>
      </c>
      <c r="I21" s="19" t="inlineStr">
        <is>
          <t>Integrity Check</t>
        </is>
      </c>
      <c r="J21" s="81" t="inlineStr">
        <is>
          <t>Rejected As Expected</t>
        </is>
      </c>
      <c r="K21" s="19" t="inlineStr">
        <is>
          <t>Exit Code</t>
        </is>
      </c>
      <c r="L21" s="81" t="inlineStr">
        <is>
          <t>Non-zero</t>
        </is>
      </c>
      <c r="M21" s="80" t="n">
        <v>0.019</v>
      </c>
      <c r="N21" s="80" t="n">
        <v>38.6</v>
      </c>
      <c r="O21" s="80" t="inlineStr">
        <is>
          <t>N/A</t>
        </is>
      </c>
      <c r="P21" s="19" t="inlineStr">
        <is>
          <t>evidence/tests/pytest_report.txt</t>
        </is>
      </c>
      <c r="Q21" s="19" t="inlineStr">
        <is>
          <t>Validator detects SHA-256 mismatch and truncated image buffers.</t>
        </is>
      </c>
    </row>
    <row r="22" ht="42" customHeight="1">
      <c r="A22" s="19" t="inlineStr">
        <is>
          <t>TEST_FAIL_SCHEMA</t>
        </is>
      </c>
      <c r="B22" s="19" t="inlineStr">
        <is>
          <t>Baseline</t>
        </is>
      </c>
      <c r="C22" s="19" t="inlineStr">
        <is>
          <t>tests/unit/test_schemas.py (Negative seed, invalid aspect ratio)</t>
        </is>
      </c>
      <c r="D22" s="19" t="inlineStr">
        <is>
          <t>Pydantic validation error raised</t>
        </is>
      </c>
      <c r="E22" s="19" t="inlineStr">
        <is>
          <t>Rejected with ValidationError</t>
        </is>
      </c>
      <c r="F22" s="19" t="inlineStr">
        <is>
          <t>Pydantic v2 strict models</t>
        </is>
      </c>
      <c r="G22" s="19" t="inlineStr">
        <is>
          <t>Local CPU Laptop</t>
        </is>
      </c>
      <c r="H22" s="19" t="inlineStr">
        <is>
          <t>Pass</t>
        </is>
      </c>
      <c r="I22" s="19" t="inlineStr">
        <is>
          <t>Schema Validation</t>
        </is>
      </c>
      <c r="J22" s="81" t="inlineStr">
        <is>
          <t>Rejected As Expected</t>
        </is>
      </c>
      <c r="K22" s="19" t="inlineStr">
        <is>
          <t>Exit Code</t>
        </is>
      </c>
      <c r="L22" s="81" t="inlineStr">
        <is>
          <t>Non-zero</t>
        </is>
      </c>
      <c r="M22" s="80" t="n">
        <v>0.001</v>
      </c>
      <c r="N22" s="80" t="n">
        <v>38.6</v>
      </c>
      <c r="O22" s="80" t="inlineStr">
        <is>
          <t>N/A</t>
        </is>
      </c>
      <c r="P22" s="19" t="inlineStr">
        <is>
          <t>evidence/tests/pytest_report.txt</t>
        </is>
      </c>
      <c r="Q22" s="19" t="inlineStr">
        <is>
          <t>Schema rules prevent malformed jobs from reaching generation stage.</t>
        </is>
      </c>
    </row>
    <row r="23" ht="42" customHeight="1">
      <c r="A23" s="19" t="inlineStr">
        <is>
          <t>TEST_SUITE_PYTEST</t>
        </is>
      </c>
      <c r="B23" s="19" t="inlineStr">
        <is>
          <t>Baseline</t>
        </is>
      </c>
      <c r="C23" s="19" t="inlineStr">
        <is>
          <t>tests/ (39 automated unit &amp; integration test cases)</t>
        </is>
      </c>
      <c r="D23" s="19" t="inlineStr">
        <is>
          <t>All 39 tests pass with zero failures</t>
        </is>
      </c>
      <c r="E23" s="19" t="inlineStr">
        <is>
          <t>39 passed in 2.10s</t>
        </is>
      </c>
      <c r="F23" s="19" t="inlineStr">
        <is>
          <t>pytest-cov coverage runner</t>
        </is>
      </c>
      <c r="G23" s="19" t="inlineStr">
        <is>
          <t>Local CPU Laptop</t>
        </is>
      </c>
      <c r="H23" s="19" t="inlineStr">
        <is>
          <t>Pass</t>
        </is>
      </c>
      <c r="I23" s="19" t="inlineStr">
        <is>
          <t>Tests Passed</t>
        </is>
      </c>
      <c r="J23" s="81" t="inlineStr">
        <is>
          <t>39 / 39 (100%)</t>
        </is>
      </c>
      <c r="K23" s="19" t="inlineStr">
        <is>
          <t>Code Coverage</t>
        </is>
      </c>
      <c r="L23" s="81" t="inlineStr">
        <is>
          <t>88%</t>
        </is>
      </c>
      <c r="M23" s="80" t="n">
        <v>2.1</v>
      </c>
      <c r="N23" s="80" t="n">
        <v>38.6</v>
      </c>
      <c r="O23" s="80" t="inlineStr">
        <is>
          <t>N/A</t>
        </is>
      </c>
      <c r="P23" s="19" t="inlineStr">
        <is>
          <t>evidence/tests/pytest_report.txt</t>
        </is>
      </c>
      <c r="Q23" s="19" t="inlineStr">
        <is>
          <t>Full automated test suite passes on local CPU laptop.</t>
        </is>
      </c>
    </row>
    <row r="24" ht="42" customHeight="1">
      <c r="A24" s="19" t="inlineStr">
        <is>
          <t>TEST_BENCH_E2E</t>
        </is>
      </c>
      <c r="B24" s="19" t="inlineStr">
        <is>
          <t>Baseline</t>
        </is>
      </c>
      <c r="C24" s="19" t="inlineStr">
        <is>
          <t>scripts/run_benchmarks.py (18 test specs benchmark)</t>
        </is>
      </c>
      <c r="D24" s="19" t="inlineStr">
        <is>
          <t>Automated throughput and latency benchmark</t>
        </is>
      </c>
      <c r="E24" s="19" t="inlineStr">
        <is>
          <t>evidence/benchmarks/benchmark_results.json</t>
        </is>
      </c>
      <c r="F24" s="19" t="inlineStr">
        <is>
          <t>Local CPU orchestrator benchmark</t>
        </is>
      </c>
      <c r="G24" s="19" t="inlineStr">
        <is>
          <t>Local CPU Laptop</t>
        </is>
      </c>
      <c r="H24" s="19" t="inlineStr">
        <is>
          <t>Pass</t>
        </is>
      </c>
      <c r="I24" s="19" t="inlineStr">
        <is>
          <t>Throughput</t>
        </is>
      </c>
      <c r="J24" s="81" t="inlineStr">
        <is>
          <t>30.1 jobs/sec</t>
        </is>
      </c>
      <c r="K24" s="19" t="inlineStr">
        <is>
          <t>Peak RAM</t>
        </is>
      </c>
      <c r="L24" s="81" t="inlineStr">
        <is>
          <t>38.6 MB</t>
        </is>
      </c>
      <c r="M24" s="80" t="n">
        <v>0.6</v>
      </c>
      <c r="N24" s="80" t="n">
        <v>38.6</v>
      </c>
      <c r="O24" s="80" t="inlineStr">
        <is>
          <t>N/A</t>
        </is>
      </c>
      <c r="P24" s="19" t="inlineStr">
        <is>
          <t>evidence/benchmarks/benchmark_report.md</t>
        </is>
      </c>
      <c r="Q24" s="19" t="inlineStr">
        <is>
          <t>Measured sub-second orchestration latency and low RAM footprint.</t>
        </is>
      </c>
    </row>
    <row r="25" ht="42" customHeight="1">
      <c r="A25" s="19" t="inlineStr">
        <is>
          <t>TEST_CLI_WORKFLOW</t>
        </is>
      </c>
      <c r="B25" s="19" t="inlineStr">
        <is>
          <t>Baseline</t>
        </is>
      </c>
      <c r="C25" s="19" t="inlineStr">
        <is>
          <t>avatar ingest &amp;&amp; avatar validate &amp;&amp; avatar evaluate</t>
        </is>
      </c>
      <c r="D25" s="19" t="inlineStr">
        <is>
          <t>Full CLI batch lifecycle on 24 generated avatars</t>
        </is>
      </c>
      <c r="E25" s="19" t="inlineStr">
        <is>
          <t>outputs/ batch evaluation summary</t>
        </is>
      </c>
      <c r="F25" s="19" t="inlineStr">
        <is>
          <t>Local CLI commands</t>
        </is>
      </c>
      <c r="G25" s="19" t="inlineStr">
        <is>
          <t>Local CPU Laptop</t>
        </is>
      </c>
      <c r="H25" s="19" t="inlineStr">
        <is>
          <t>Pass</t>
        </is>
      </c>
      <c r="I25" s="19" t="inlineStr">
        <is>
          <t>Ingest/Hash Match</t>
        </is>
      </c>
      <c r="J25" s="81" t="inlineStr">
        <is>
          <t>24/24 (100%)</t>
        </is>
      </c>
      <c r="K25" s="19" t="inlineStr">
        <is>
          <t>Diversity Score</t>
        </is>
      </c>
      <c r="L25" s="81" t="inlineStr">
        <is>
          <t>24.2%</t>
        </is>
      </c>
      <c r="M25" s="80" t="n">
        <v>0.45</v>
      </c>
      <c r="N25" s="80" t="n">
        <v>37.2</v>
      </c>
      <c r="O25" s="80" t="inlineStr">
        <is>
          <t>N/A</t>
        </is>
      </c>
      <c r="P25" s="19" t="inlineStr">
        <is>
          <t>outputs/batch_summary.json</t>
        </is>
      </c>
      <c r="Q25" s="19" t="inlineStr">
        <is>
          <t>Complete local validation and diversity evaluation executed on 24 outputs.</t>
        </is>
      </c>
    </row>
    <row r="26" ht="42" customHeight="1">
      <c r="A26" s="19" t="str"/>
      <c r="B26" s="19" t="str"/>
      <c r="C26" s="19" t="str"/>
      <c r="D26" s="19" t="str"/>
      <c r="E26" s="19" t="str"/>
      <c r="F26" s="19" t="str"/>
      <c r="G26" s="19" t="str"/>
      <c r="H26" s="19" t="str"/>
      <c r="I26" s="19" t="str"/>
      <c r="J26" s="81" t="str"/>
      <c r="K26" s="19" t="str"/>
      <c r="L26" s="81" t="str"/>
      <c r="M26" s="80" t="str"/>
      <c r="N26" s="80" t="str"/>
      <c r="O26" s="80" t="str"/>
      <c r="P26" s="19" t="str"/>
      <c r="Q26" s="19" t="str"/>
    </row>
    <row r="28">
      <c r="A28" s="19" t="inlineStr">
        <is>
          <t>Benchmark Methodology: Orchestration latency, throughput, and memory profiling were measured using psutil and high-resolution wall-clock timers across 18 specifications with mock execution on local CPU (Intel Core 10-core/12-thread, 16 GB RAM, Windows 11). Validation benchmarking measured SHA-256 cryptographic hashing and Pillow image dimension checks. Free accelerator GPU inference was measured on Kaggle Cloud (NVIDIA Tesla T4 GPU, 15 GB VRAM) executing Stable Diffusion v1.5 with DPMSolverMultistepScheduler (25 steps, 512x512 resolution, batch size 1). Quality metrics: prompt adherence was computed via keyword clause matching across structured spec fields, and diversity was measured via normalized unique attribute distribution across 24 generated avatars. Limitations: GPU inference latency is constrained by Kaggle free-tier cloud scheduling and cold model load times (~22s initial weight load, ~3.8s steady-state generation per image). Live generation executed on SD 1.5 only.</t>
        </is>
      </c>
      <c r="B28" s="73" t="n"/>
      <c r="C28" s="73" t="n"/>
      <c r="D28" s="73" t="n"/>
      <c r="E28" s="73" t="n"/>
      <c r="F28" s="73" t="n"/>
      <c r="G28" s="73" t="n"/>
      <c r="H28" s="73" t="n"/>
      <c r="I28" s="73" t="n"/>
      <c r="J28" s="73" t="n"/>
      <c r="K28" s="73" t="n"/>
      <c r="L28" s="73" t="n"/>
      <c r="M28" s="73" t="n"/>
      <c r="N28" s="73" t="n"/>
      <c r="O28" s="73" t="n"/>
      <c r="P28" s="73" t="n"/>
      <c r="Q28" s="74" t="n"/>
    </row>
    <row r="29">
      <c r="A29" s="78" t="n"/>
      <c r="Q29" s="79" t="n"/>
    </row>
    <row r="30">
      <c r="A30" s="78" t="n"/>
      <c r="Q30" s="79" t="n"/>
    </row>
    <row r="31">
      <c r="A31" s="75" t="n"/>
      <c r="B31" s="76" t="n"/>
      <c r="C31" s="76" t="n"/>
      <c r="D31" s="76" t="n"/>
      <c r="E31" s="76" t="n"/>
      <c r="F31" s="76" t="n"/>
      <c r="G31" s="76" t="n"/>
      <c r="H31" s="76" t="n"/>
      <c r="I31" s="76" t="n"/>
      <c r="J31" s="76" t="n"/>
      <c r="K31" s="76" t="n"/>
      <c r="L31" s="76" t="n"/>
      <c r="M31" s="76" t="n"/>
      <c r="N31" s="76" t="n"/>
      <c r="O31" s="76" t="n"/>
      <c r="P31" s="76" t="n"/>
      <c r="Q31" s="77" t="n"/>
    </row>
  </sheetData>
  <mergeCells count="4">
    <mergeCell ref="A4:Q4"/>
    <mergeCell ref="A2:Q2"/>
    <mergeCell ref="A1:Q1"/>
    <mergeCell ref="A28:Q31"/>
  </mergeCells>
  <dataValidations count="3">
    <dataValidation sqref="B7:B26" showDropDown="0" showInputMessage="0" showErrorMessage="0" allowBlank="0" type="list">
      <formula1>"Baseline,Strong,Exceptional,Negative / failure,Hidden / live"</formula1>
    </dataValidation>
    <dataValidation sqref="G7:G26" showDropDown="0" showInputMessage="0" showErrorMessage="0" allowBlank="0" type="list">
      <formula1>"Local CPU,Approved free compute,IncuBrix equivalent"</formula1>
    </dataValidation>
    <dataValidation sqref="H7:H26" showDropDown="0" showInputMessage="0" showErrorMessage="0" allowBlank="0" type="list">
      <formula1>"Yes,No,Partial"</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4" customHeight="1">
      <c r="A1" s="3" t="inlineStr">
        <is>
          <t>Track 02 | Open-Source AI Human-Avatar Generation</t>
        </is>
      </c>
    </row>
    <row r="2" ht="28" customHeight="1">
      <c r="A2" s="7" t="inlineStr">
        <is>
          <t>Baseline is mandatory; higher-level points require complete verified evidence</t>
        </is>
      </c>
    </row>
    <row r="4" ht="23" customHeight="1">
      <c r="A4" s="10" t="inlineStr">
        <is>
          <t>Problem and Product Context</t>
        </is>
      </c>
    </row>
    <row r="5" ht="54" customHeight="1">
      <c r="A5" s="14" t="inlineStr">
        <is>
          <t>Original/refined intent</t>
        </is>
      </c>
      <c r="B5" s="34" t="inlineStr">
        <is>
          <t>Use open-source generative AI to create human avatars, support inclusive appearance controls across nationalities and ethnicities, and—at the highest level—create a consistent avatar for a consenting individual.</t>
        </is>
      </c>
      <c r="C5" s="70" t="n"/>
      <c r="D5" s="70" t="n"/>
      <c r="E5" s="70" t="n"/>
      <c r="F5" s="70" t="n"/>
      <c r="G5" s="70" t="n"/>
      <c r="H5" s="71" t="n"/>
    </row>
    <row r="6" ht="54" customHeight="1">
      <c r="A6" s="14" t="inlineStr">
        <is>
          <t>Product value</t>
        </is>
      </c>
      <c r="B6" s="34" t="inlineStr">
        <is>
          <t>Reusable presenter identities and visual localisation without commercial generation APIs</t>
        </is>
      </c>
      <c r="C6" s="70" t="n"/>
      <c r="D6" s="70" t="n"/>
      <c r="E6" s="70" t="n"/>
      <c r="F6" s="70" t="n"/>
      <c r="G6" s="70" t="n"/>
      <c r="H6" s="71" t="n"/>
    </row>
    <row r="7" ht="54" customHeight="1">
      <c r="A7" s="14" t="inlineStr">
        <is>
          <t>Execution route</t>
        </is>
      </c>
      <c r="B7" s="34" t="inlineStr">
        <is>
          <t>Hybrid. The orchestration, safety checks, metadata, evaluation and tests must run locally on a non-GPU laptop. Image-model inference may run in a disclosed free accelerator notebook because realistic generation is generally impractical on typical CPUs. No candidate payment or card is permitted.</t>
        </is>
      </c>
      <c r="C7" s="70" t="n"/>
      <c r="D7" s="70" t="n"/>
      <c r="E7" s="70" t="n"/>
      <c r="F7" s="70" t="n"/>
      <c r="G7" s="70" t="n"/>
      <c r="H7" s="71" t="n"/>
    </row>
    <row r="8" ht="54" customHeight="1">
      <c r="A8" s="14" t="inlineStr">
        <is>
          <t>Input/output contract</t>
        </is>
      </c>
      <c r="B8" s="34" t="inlineStr">
        <is>
          <t>Input: structured avatar specification (age band, presentation, skin tone, hair, attire, background, pose and optional consented reference images). Output: PNG/JPEG assets plus avatar_manifest.json containing prompt/spec, seed, model/checkpoint, provenance, safety results and compute route.</t>
        </is>
      </c>
      <c r="C8" s="70" t="n"/>
      <c r="D8" s="70" t="n"/>
      <c r="E8" s="70" t="n"/>
      <c r="F8" s="70" t="n"/>
      <c r="G8" s="70" t="n"/>
      <c r="H8" s="71" t="n"/>
    </row>
    <row r="10" ht="23" customHeight="1">
      <c r="A10" s="10" t="inlineStr">
        <is>
          <t>Performance Levels</t>
        </is>
      </c>
    </row>
    <row r="11">
      <c r="A11" s="37" t="inlineStr">
        <is>
          <t>Level</t>
        </is>
      </c>
      <c r="B11" s="37" t="inlineStr">
        <is>
          <t>Requirement</t>
        </is>
      </c>
      <c r="C11" s="70" t="n"/>
      <c r="D11" s="70" t="n"/>
      <c r="E11" s="70" t="n"/>
      <c r="F11" s="70" t="n"/>
      <c r="G11" s="70" t="n"/>
      <c r="H11" s="71" t="n"/>
    </row>
    <row r="12" ht="92" customHeight="1">
      <c r="A12" s="40" t="inlineStr">
        <is>
          <t>Baseline - mandatory</t>
        </is>
      </c>
      <c r="B12" s="34" t="inlineStr">
        <is>
          <t>Generate at least six fictional human-avatar portraits with an openly available model executed by the candidate. Provide deterministic seeds, structured specifications, negative/safety controls, provenance and a local CLI that prepares jobs and validates returned outputs. At least two batches must be reproducible from a clean notebook or IncuBrix-provided run slot.</t>
        </is>
      </c>
      <c r="C12" s="70" t="n"/>
      <c r="D12" s="70" t="n"/>
      <c r="E12" s="70" t="n"/>
      <c r="F12" s="70" t="n"/>
      <c r="G12" s="70" t="n"/>
      <c r="H12" s="71" t="n"/>
    </row>
    <row r="13" ht="92" customHeight="1">
      <c r="A13" s="56" t="inlineStr">
        <is>
          <t>Strong</t>
        </is>
      </c>
      <c r="B13" s="34" t="inlineStr">
        <is>
          <t>Generate a balanced test matrix spanning at least six materially different geographic/cultural appearance requirements without stereotyping. Separate appearance attributes from nationality labels, support controlled changes to at least four attributes, quantify prompt/spec adherence and identity consistency, and compare two open models or conditioning approaches.</t>
        </is>
      </c>
      <c r="C13" s="70" t="n"/>
      <c r="D13" s="70" t="n"/>
      <c r="E13" s="70" t="n"/>
      <c r="F13" s="70" t="n"/>
      <c r="G13" s="70" t="n"/>
      <c r="H13" s="71" t="n"/>
    </row>
    <row r="14" ht="92" customHeight="1">
      <c r="A14" s="52" t="inlineStr">
        <is>
          <t>Exceptional</t>
        </is>
      </c>
      <c r="B14" s="34" t="inlineStr">
        <is>
          <t>With explicit consent and rights to the reference images, create a consistent individual avatar across at least five poses/backgrounds and two aspect ratios. Evaluate identity consistency using an independent embedding system plus human review, label synthetic media, document privacy/deletion controls and demonstrate refusal when consent is absent.</t>
        </is>
      </c>
      <c r="C14" s="70" t="n"/>
      <c r="D14" s="70" t="n"/>
      <c r="E14" s="70" t="n"/>
      <c r="F14" s="70" t="n"/>
      <c r="G14" s="70" t="n"/>
      <c r="H14" s="71" t="n"/>
    </row>
    <row r="16" ht="23" customHeight="1">
      <c r="A16" s="10" t="inlineStr">
        <is>
          <t>Required Test Matrix</t>
        </is>
      </c>
    </row>
    <row r="17" ht="36" customHeight="1">
      <c r="A17" s="29" t="n">
        <v>1</v>
      </c>
      <c r="B17" s="34" t="inlineStr">
        <is>
          <t>Six fictional avatars covering varied skin tones, hair, attire, age bands and backgrounds</t>
        </is>
      </c>
      <c r="C17" s="70" t="n"/>
      <c r="D17" s="70" t="n"/>
      <c r="E17" s="70" t="n"/>
      <c r="F17" s="70" t="n"/>
      <c r="G17" s="70" t="n"/>
      <c r="H17" s="71" t="n"/>
    </row>
    <row r="18" ht="36" customHeight="1">
      <c r="A18" s="29" t="n">
        <v>2</v>
      </c>
      <c r="B18" s="34" t="inlineStr">
        <is>
          <t>Four controlled single-attribute changes while other attributes remain stable</t>
        </is>
      </c>
      <c r="C18" s="70" t="n"/>
      <c r="D18" s="70" t="n"/>
      <c r="E18" s="70" t="n"/>
      <c r="F18" s="70" t="n"/>
      <c r="G18" s="70" t="n"/>
      <c r="H18" s="71" t="n"/>
    </row>
    <row r="19" ht="36" customHeight="1">
      <c r="A19" s="29" t="n">
        <v>3</v>
      </c>
      <c r="B19" s="34" t="inlineStr">
        <is>
          <t>One ambiguous specification, one unsafe/disallowed request and one corrupted output</t>
        </is>
      </c>
      <c r="C19" s="70" t="n"/>
      <c r="D19" s="70" t="n"/>
      <c r="E19" s="70" t="n"/>
      <c r="F19" s="70" t="n"/>
      <c r="G19" s="70" t="n"/>
      <c r="H19" s="71" t="n"/>
    </row>
    <row r="20" ht="36" customHeight="1">
      <c r="A20" s="29" t="n">
        <v>4</v>
      </c>
      <c r="B20" s="34" t="inlineStr">
        <is>
          <t>Exceptional only: five scenes, two aspect ratios and consented reference set</t>
        </is>
      </c>
      <c r="C20" s="70" t="n"/>
      <c r="D20" s="70" t="n"/>
      <c r="E20" s="70" t="n"/>
      <c r="F20" s="70" t="n"/>
      <c r="G20" s="70" t="n"/>
      <c r="H20" s="71" t="n"/>
    </row>
    <row r="22" ht="23" customHeight="1">
      <c r="A22" s="10" t="inlineStr">
        <is>
          <t>Implementation Guidance and Minimum Evidence</t>
        </is>
      </c>
    </row>
    <row r="23" ht="34" customHeight="1">
      <c r="A23" s="58" t="n">
        <v>1</v>
      </c>
      <c r="B23" s="34" t="inlineStr">
        <is>
          <t>Guidance: Represent requested traits as neutral attributes; do not encode nationality as a stereotype or claim biometric truth.</t>
        </is>
      </c>
      <c r="C23" s="70" t="n"/>
      <c r="D23" s="70" t="n"/>
      <c r="E23" s="70" t="n"/>
      <c r="F23" s="70" t="n"/>
      <c r="G23" s="70" t="n"/>
      <c r="H23" s="71" t="n"/>
    </row>
    <row r="24" ht="34" customHeight="1">
      <c r="A24" s="58" t="n">
        <v>2</v>
      </c>
      <c r="B24" s="34" t="inlineStr">
        <is>
          <t>Guidance: Use low resolution, few steps and memory-efficient attention first; scale only after the pipeline is stable.</t>
        </is>
      </c>
      <c r="C24" s="70" t="n"/>
      <c r="D24" s="70" t="n"/>
      <c r="E24" s="70" t="n"/>
      <c r="F24" s="70" t="n"/>
      <c r="G24" s="70" t="n"/>
      <c r="H24" s="71" t="n"/>
    </row>
    <row r="25" ht="34" customHeight="1">
      <c r="A25" s="58" t="n">
        <v>3</v>
      </c>
      <c r="B25" s="34" t="inlineStr">
        <is>
          <t>Guidance: The local CLI should create a portable job bundle, invoke or guide notebook execution, ingest results and validate dimensions/provenance.</t>
        </is>
      </c>
      <c r="C25" s="70" t="n"/>
      <c r="D25" s="70" t="n"/>
      <c r="E25" s="70" t="n"/>
      <c r="F25" s="70" t="n"/>
      <c r="G25" s="70" t="n"/>
      <c r="H25" s="71" t="n"/>
    </row>
    <row r="26" ht="34" customHeight="1">
      <c r="A26" s="58" t="n">
        <v>4</v>
      </c>
      <c r="B26" s="34" t="inlineStr">
        <is>
          <t>Guidance: Do not use Google Colab for individual-avatar/deepfake work because its managed-runtime policy prohibits deepfake creation.</t>
        </is>
      </c>
      <c r="C26" s="70" t="n"/>
      <c r="D26" s="70" t="n"/>
      <c r="E26" s="70" t="n"/>
      <c r="F26" s="70" t="n"/>
      <c r="G26" s="70" t="n"/>
      <c r="H26" s="71" t="n"/>
    </row>
    <row r="27" ht="34" customHeight="1">
      <c r="A27" s="58" t="n">
        <v>5</v>
      </c>
      <c r="B27" s="34" t="inlineStr">
        <is>
          <t>Evidence: Executable notebook with pinned model revision and downloadable outputs</t>
        </is>
      </c>
      <c r="C27" s="70" t="n"/>
      <c r="D27" s="70" t="n"/>
      <c r="E27" s="70" t="n"/>
      <c r="F27" s="70" t="n"/>
      <c r="G27" s="70" t="n"/>
      <c r="H27" s="71" t="n"/>
    </row>
    <row r="28" ht="34" customHeight="1">
      <c r="A28" s="58" t="n">
        <v>6</v>
      </c>
      <c r="B28" s="34" t="inlineStr">
        <is>
          <t>Evidence: Local job specification, validator, safety log and provenance manifest</t>
        </is>
      </c>
      <c r="C28" s="70" t="n"/>
      <c r="D28" s="70" t="n"/>
      <c r="E28" s="70" t="n"/>
      <c r="F28" s="70" t="n"/>
      <c r="G28" s="70" t="n"/>
      <c r="H28" s="71" t="n"/>
    </row>
    <row r="29" ht="34" customHeight="1">
      <c r="A29" s="58" t="n">
        <v>7</v>
      </c>
      <c r="B29" s="34" t="inlineStr">
        <is>
          <t>Evidence: All generated attempts with seeds, including rejected or degraded cases</t>
        </is>
      </c>
      <c r="C29" s="70" t="n"/>
      <c r="D29" s="70" t="n"/>
      <c r="E29" s="70" t="n"/>
      <c r="F29" s="70" t="n"/>
      <c r="G29" s="70" t="n"/>
      <c r="H29" s="71" t="n"/>
    </row>
    <row r="30" ht="34" customHeight="1">
      <c r="A30" s="58" t="n">
        <v>8</v>
      </c>
      <c r="B30" s="34" t="inlineStr">
        <is>
          <t>Evidence: Attribute test matrix and documented human-review protocol</t>
        </is>
      </c>
      <c r="C30" s="70" t="n"/>
      <c r="D30" s="70" t="n"/>
      <c r="E30" s="70" t="n"/>
      <c r="F30" s="70" t="n"/>
      <c r="G30" s="70" t="n"/>
      <c r="H30" s="71" t="n"/>
    </row>
  </sheetData>
  <mergeCells count="26">
    <mergeCell ref="B6:H6"/>
    <mergeCell ref="B24:H24"/>
    <mergeCell ref="B30:H30"/>
    <mergeCell ref="A1:H1"/>
    <mergeCell ref="B5:H5"/>
    <mergeCell ref="B20:H20"/>
    <mergeCell ref="B26:H26"/>
    <mergeCell ref="A16:H16"/>
    <mergeCell ref="B7:H7"/>
    <mergeCell ref="B25:H25"/>
    <mergeCell ref="B18:H18"/>
    <mergeCell ref="B27:H27"/>
    <mergeCell ref="A2:H2"/>
    <mergeCell ref="B12:H12"/>
    <mergeCell ref="B11:H11"/>
    <mergeCell ref="A22:H22"/>
    <mergeCell ref="B23:H23"/>
    <mergeCell ref="A4:H4"/>
    <mergeCell ref="B8:H8"/>
    <mergeCell ref="B14:H14"/>
    <mergeCell ref="B17:H17"/>
    <mergeCell ref="B13:H13"/>
    <mergeCell ref="A10:H10"/>
    <mergeCell ref="B29:H29"/>
    <mergeCell ref="B19:H19"/>
    <mergeCell ref="B28:H2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4" customWidth="1" min="1" max="1"/>
    <col width="12" customWidth="1" min="2" max="2"/>
    <col width="16" customWidth="1" min="3" max="3"/>
    <col width="42" customWidth="1" min="4" max="4"/>
    <col width="19" customWidth="1" min="5" max="5"/>
    <col width="20" customWidth="1" min="6" max="6"/>
    <col width="20" customWidth="1" min="7" max="7"/>
  </cols>
  <sheetData>
    <row r="1" ht="34" customHeight="1">
      <c r="A1" s="3" t="inlineStr">
        <is>
          <t>Track 02 | Evaluator Review and Final Result</t>
        </is>
      </c>
    </row>
    <row r="2" ht="28" customHeight="1">
      <c r="A2" s="7" t="inlineStr">
        <is>
          <t>Blue cells are reviewer inputs; green cells calculate eligibility, total and performance band</t>
        </is>
      </c>
    </row>
    <row r="4" ht="23" customHeight="1">
      <c r="A4" s="10" t="inlineStr">
        <is>
          <t>Hard Eligibility Gates</t>
        </is>
      </c>
    </row>
    <row r="5">
      <c r="A5" s="14" t="inlineStr">
        <is>
          <t>Runnable core</t>
        </is>
      </c>
      <c r="B5" s="48" t="str"/>
      <c r="C5" s="34" t="inlineStr">
        <is>
          <t>End-to-end output from submitted code and documented input</t>
        </is>
      </c>
      <c r="D5" s="71" t="n"/>
      <c r="E5" s="35" t="inlineStr">
        <is>
          <t>Eligibility</t>
        </is>
      </c>
      <c r="F5" s="59">
        <f>IF(COUNTIF(B5:B11,"No")&gt;0,"INELIGIBLE",IF(COUNTIF(B5:B11,"Yes")=7,"ELIGIBLE","PENDING"))</f>
        <v/>
      </c>
      <c r="G5" s="71" t="n"/>
    </row>
    <row r="6">
      <c r="A6" s="14" t="inlineStr">
        <is>
          <t>Permitted compute</t>
        </is>
      </c>
      <c r="B6" s="48" t="str"/>
      <c r="C6" s="34" t="inlineStr">
        <is>
          <t>Track compute rules followed; zero candidate spend; no hidden paid endpoint</t>
        </is>
      </c>
      <c r="D6" s="71" t="n"/>
    </row>
    <row r="7">
      <c r="A7" s="14" t="inlineStr">
        <is>
          <t>Open/local AI</t>
        </is>
      </c>
      <c r="B7" s="48" t="str"/>
      <c r="C7" s="34" t="inlineStr">
        <is>
          <t>No commercial generation API; material components disclosed</t>
        </is>
      </c>
      <c r="D7" s="71" t="n"/>
      <c r="E7" s="64" t="inlineStr">
        <is>
          <t>Any No makes the submission ineligible. Record evidence before stopping normal scoring. A partial score may be retained for feedback only.</t>
        </is>
      </c>
      <c r="F7" s="73" t="n"/>
      <c r="G7" s="74" t="n"/>
    </row>
    <row r="8">
      <c r="A8" s="14" t="inlineStr">
        <is>
          <t>Evidence complete</t>
        </is>
      </c>
      <c r="B8" s="48" t="str"/>
      <c r="C8" s="34" t="inlineStr">
        <is>
          <t>Required outputs/tests/benchmark support claims</t>
        </is>
      </c>
      <c r="D8" s="71" t="n"/>
      <c r="E8" s="78" t="n"/>
      <c r="G8" s="79" t="n"/>
    </row>
    <row r="9">
      <c r="A9" s="14" t="inlineStr">
        <is>
          <t>Rights and consent</t>
        </is>
      </c>
      <c r="B9" s="48" t="str"/>
      <c r="C9" s="34" t="inlineStr">
        <is>
          <t>Voice/likeness/data/media authorised and appropriately labelled</t>
        </is>
      </c>
      <c r="D9" s="71" t="n"/>
      <c r="E9" s="78" t="n"/>
      <c r="G9" s="79" t="n"/>
    </row>
    <row r="10">
      <c r="A10" s="14" t="inlineStr">
        <is>
          <t>Ownership</t>
        </is>
      </c>
      <c r="B10" s="48" t="str"/>
      <c r="C10" s="34" t="inlineStr">
        <is>
          <t>Candidate explains, traces, runs and modifies core code</t>
        </is>
      </c>
      <c r="D10" s="71" t="n"/>
      <c r="E10" s="78" t="n"/>
      <c r="G10" s="79" t="n"/>
    </row>
    <row r="11">
      <c r="A11" s="14" t="inlineStr">
        <is>
          <t>Integrity</t>
        </is>
      </c>
      <c r="B11" s="48" t="str"/>
      <c r="C11" s="34" t="inlineStr">
        <is>
          <t>No fabrication, plagiarism, misleading benchmark or hidden manual work</t>
        </is>
      </c>
      <c r="D11" s="71" t="n"/>
      <c r="E11" s="75" t="n"/>
      <c r="F11" s="76" t="n"/>
      <c r="G11" s="77" t="n"/>
    </row>
    <row r="13" ht="23" customHeight="1">
      <c r="A13" s="10" t="inlineStr">
        <is>
          <t>Common 100-Point Rubric</t>
        </is>
      </c>
    </row>
    <row r="14">
      <c r="A14" s="37" t="inlineStr">
        <is>
          <t>Category</t>
        </is>
      </c>
      <c r="B14" s="37" t="inlineStr">
        <is>
          <t>Max</t>
        </is>
      </c>
      <c r="C14" s="37" t="inlineStr">
        <is>
          <t>Reviewer score</t>
        </is>
      </c>
      <c r="D14" s="37" t="inlineStr">
        <is>
          <t>Reviewer evidence</t>
        </is>
      </c>
      <c r="E14" s="37" t="inlineStr">
        <is>
          <t>Check</t>
        </is>
      </c>
      <c r="F14" s="37" t="inlineStr">
        <is>
          <t>Progression</t>
        </is>
      </c>
      <c r="G14" s="71" t="n"/>
    </row>
    <row r="15">
      <c r="A15" s="34" t="inlineStr">
        <is>
          <t>Functional correctness and output quality</t>
        </is>
      </c>
      <c r="B15" s="34" t="n">
        <v>25</v>
      </c>
      <c r="C15" s="48" t="str"/>
      <c r="D15" s="48" t="str"/>
      <c r="E15" s="59">
        <f>IF(C15="","",IF(C15&lt;=25,"OK","CHECK"))</f>
        <v/>
      </c>
      <c r="F15" s="59">
        <f>IF(F5="PENDING","PENDING",IF(F5="INELIGIBLE","INELIGIBLE",IF(COUNT(C15:C19)&lt;5,"PENDING",IF(AND(C15&gt;=13,C16&gt;=15,C17&gt;=10,C19&gt;=12,C20&gt;=65),"PROGRESS","DO NOT PROGRESS"))))</f>
        <v/>
      </c>
      <c r="G15" s="74" t="n"/>
    </row>
    <row r="16">
      <c r="A16" s="34" t="inlineStr">
        <is>
          <t>Software engineering and architecture</t>
        </is>
      </c>
      <c r="B16" s="34" t="n">
        <v>25</v>
      </c>
      <c r="C16" s="48" t="str"/>
      <c r="D16" s="48" t="str"/>
      <c r="E16" s="59">
        <f>IF(C16="","",IF(C16&lt;=25,"OK","CHECK"))</f>
        <v/>
      </c>
      <c r="F16" s="78" t="n"/>
      <c r="G16" s="79" t="n"/>
    </row>
    <row r="17">
      <c r="A17" s="34" t="inlineStr">
        <is>
          <t>Testing, evaluation and reproducibility</t>
        </is>
      </c>
      <c r="B17" s="34" t="n">
        <v>20</v>
      </c>
      <c r="C17" s="48" t="str"/>
      <c r="D17" s="48" t="str"/>
      <c r="E17" s="59">
        <f>IF(C17="","",IF(C17&lt;=20,"OK","CHECK"))</f>
        <v/>
      </c>
      <c r="F17" s="75" t="n"/>
      <c r="G17" s="77" t="n"/>
    </row>
    <row r="18">
      <c r="A18" s="34" t="inlineStr">
        <is>
          <t>Efficiency, licensing and product fit</t>
        </is>
      </c>
      <c r="B18" s="34" t="n">
        <v>10</v>
      </c>
      <c r="C18" s="48" t="str"/>
      <c r="D18" s="48" t="str"/>
      <c r="E18" s="59">
        <f>IF(C18="","",IF(C18&lt;=10,"OK","CHECK"))</f>
        <v/>
      </c>
      <c r="F18" s="68" t="inlineStr">
        <is>
          <t>Minimums: Functional 13; Engineering 15; Testing 10; Live 12; Total 65; successful live change also required.</t>
        </is>
      </c>
      <c r="G18" s="74" t="n"/>
    </row>
    <row r="19">
      <c r="A19" s="34" t="inlineStr">
        <is>
          <t>Live validation, debugging and ownership</t>
        </is>
      </c>
      <c r="B19" s="34" t="n">
        <v>20</v>
      </c>
      <c r="C19" s="48" t="str"/>
      <c r="D19" s="48" t="str"/>
      <c r="E19" s="59">
        <f>IF(C19="","",IF(C19&lt;=20,"OK","CHECK"))</f>
        <v/>
      </c>
      <c r="F19" s="78" t="n"/>
      <c r="G19" s="79" t="n"/>
    </row>
    <row r="20">
      <c r="A20" s="34" t="inlineStr">
        <is>
          <t>Total</t>
        </is>
      </c>
      <c r="B20" s="34" t="n">
        <v>100</v>
      </c>
      <c r="C20" s="59">
        <f>IF(COUNT(C15:C19)=0,"",SUM(C15:C19))</f>
        <v/>
      </c>
      <c r="F20" s="75" t="n"/>
      <c r="G20" s="77" t="n"/>
    </row>
    <row r="22" ht="23" customHeight="1">
      <c r="A22" s="10" t="inlineStr">
        <is>
          <t>Verified Level and Final Recommendation</t>
        </is>
      </c>
    </row>
    <row r="23">
      <c r="A23" s="14" t="inlineStr">
        <is>
          <t>Baseline verified</t>
        </is>
      </c>
      <c r="B23" s="48" t="str"/>
      <c r="C23" s="34" t="inlineStr">
        <is>
          <t>Required</t>
        </is>
      </c>
      <c r="D23" s="71" t="n"/>
      <c r="E23" s="35" t="inlineStr">
        <is>
          <t>Verified level</t>
        </is>
      </c>
      <c r="F23" s="59">
        <f>IF(B23&lt;&gt;"Yes","BELOW BASELINE",IF(AND(B25="Yes",B26="Yes",C20&gt;=85),"EXCEPTIONAL",IF(B24="Yes","STRONG","BASELINE")))</f>
        <v/>
      </c>
      <c r="G23" s="71" t="n"/>
    </row>
    <row r="24">
      <c r="A24" s="14" t="inlineStr">
        <is>
          <t>Strong verified</t>
        </is>
      </c>
      <c r="B24" s="48" t="str"/>
      <c r="C24" s="34" t="inlineStr">
        <is>
          <t>Required for Strong cap</t>
        </is>
      </c>
      <c r="D24" s="71" t="n"/>
    </row>
    <row r="25">
      <c r="A25" s="14" t="inlineStr">
        <is>
          <t>Exceptional verified</t>
        </is>
      </c>
      <c r="B25" s="48" t="str"/>
      <c r="C25" s="34" t="inlineStr">
        <is>
          <t>Required for Exceptional cap</t>
        </is>
      </c>
      <c r="D25" s="71" t="n"/>
      <c r="E25" s="35" t="inlineStr">
        <is>
          <t>Final recommendation</t>
        </is>
      </c>
      <c r="F25" s="48" t="n"/>
      <c r="G25" s="71" t="n"/>
    </row>
    <row r="26">
      <c r="A26" s="14" t="inlineStr">
        <is>
          <t>2 of 3 hidden tests + product/licence gate + live change</t>
        </is>
      </c>
      <c r="B26" s="48" t="str"/>
      <c r="C26" s="34" t="inlineStr">
        <is>
          <t>Required for Exceptional</t>
        </is>
      </c>
      <c r="D26" s="71" t="n"/>
    </row>
    <row r="27">
      <c r="A27" s="14" t="inlineStr">
        <is>
          <t>Second evaluator required?</t>
        </is>
      </c>
      <c r="B27" s="48" t="str"/>
      <c r="C27" s="34" t="inlineStr">
        <is>
          <t>Potential selection / within 5 of cutoff / &gt;5 disagreement / sample</t>
        </is>
      </c>
      <c r="D27" s="71" t="n"/>
      <c r="E27" s="48" t="inlineStr">
        <is>
          <t>Final rationale and evidence references:</t>
        </is>
      </c>
      <c r="F27" s="73" t="n"/>
      <c r="G27" s="74" t="n"/>
    </row>
    <row r="28">
      <c r="E28" s="78" t="n"/>
      <c r="G28" s="79" t="n"/>
    </row>
    <row r="29">
      <c r="E29" s="78" t="n"/>
      <c r="G29" s="79" t="n"/>
    </row>
    <row r="30">
      <c r="E30" s="75" t="n"/>
      <c r="F30" s="76" t="n"/>
      <c r="G30" s="77" t="n"/>
    </row>
  </sheetData>
  <mergeCells count="25">
    <mergeCell ref="C6:D6"/>
    <mergeCell ref="C24:D24"/>
    <mergeCell ref="A22:G22"/>
    <mergeCell ref="F25:G25"/>
    <mergeCell ref="C5:D5"/>
    <mergeCell ref="A4:G4"/>
    <mergeCell ref="C26:D26"/>
    <mergeCell ref="A13:G13"/>
    <mergeCell ref="C10:D10"/>
    <mergeCell ref="C25:D25"/>
    <mergeCell ref="F5:G5"/>
    <mergeCell ref="F15:G17"/>
    <mergeCell ref="F18:G20"/>
    <mergeCell ref="C9:D9"/>
    <mergeCell ref="A1:G1"/>
    <mergeCell ref="E7:G11"/>
    <mergeCell ref="C11:D11"/>
    <mergeCell ref="C27:D27"/>
    <mergeCell ref="F23:G23"/>
    <mergeCell ref="C23:D23"/>
    <mergeCell ref="C8:D8"/>
    <mergeCell ref="C7:D7"/>
    <mergeCell ref="E27:G30"/>
    <mergeCell ref="A2:G2"/>
    <mergeCell ref="F14:G14"/>
  </mergeCells>
  <dataValidations count="7">
    <dataValidation sqref="B5:B11" showDropDown="0" showInputMessage="0" showErrorMessage="0" allowBlank="0" type="list">
      <formula1>"Yes,No"</formula1>
    </dataValidation>
    <dataValidation sqref="C15:C16" showDropDown="0" showInputMessage="0" showErrorMessage="0" allowBlank="0" type="whole" operator="between">
      <formula1>0</formula1>
      <formula2>25</formula2>
    </dataValidation>
    <dataValidation sqref="C17" showDropDown="0" showInputMessage="0" showErrorMessage="0" allowBlank="0" type="whole" operator="between">
      <formula1>0</formula1>
      <formula2>20</formula2>
    </dataValidation>
    <dataValidation sqref="C18" showDropDown="0" showInputMessage="0" showErrorMessage="0" allowBlank="0" type="whole" operator="between">
      <formula1>0</formula1>
      <formula2>10</formula2>
    </dataValidation>
    <dataValidation sqref="C19" showDropDown="0" showInputMessage="0" showErrorMessage="0" allowBlank="0" type="whole" operator="between">
      <formula1>0</formula1>
      <formula2>20</formula2>
    </dataValidation>
    <dataValidation sqref="B23:B27" showDropDown="0" showInputMessage="0" showErrorMessage="0" allowBlank="0" type="list">
      <formula1>"Yes,No"</formula1>
    </dataValidation>
    <dataValidation sqref="F25:G25" showDropDown="0" showInputMessage="0" showErrorMessage="0" allowBlank="0" type="list">
      <formula1>"Hire - exceptional,Hire / strong shortlist,Hold,Do not progress,Ineligible"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23" customWidth="1" min="1" max="1"/>
    <col width="34" customWidth="1" min="2" max="2"/>
    <col width="34" customWidth="1" min="3" max="3"/>
    <col width="34" customWidth="1" min="4" max="4"/>
    <col width="15" customWidth="1" min="5" max="5"/>
    <col width="30" customWidth="1" min="6" max="6"/>
    <col width="15" customWidth="1" min="7" max="7"/>
    <col width="18" customWidth="1" min="8" max="8"/>
  </cols>
  <sheetData>
    <row r="1" ht="34" customHeight="1">
      <c r="A1" s="3" t="inlineStr">
        <is>
          <t>Track 02 | Live Validation and Ownership</t>
        </is>
      </c>
    </row>
    <row r="2" ht="28" customHeight="1">
      <c r="A2" s="7" t="inlineStr">
        <is>
          <t>Internal evaluator sheet; do not share hidden inputs before the session</t>
        </is>
      </c>
    </row>
    <row r="4" ht="23" customHeight="1">
      <c r="A4" s="10" t="inlineStr">
        <is>
          <t>Hidden Tests</t>
        </is>
      </c>
    </row>
    <row r="5">
      <c r="A5" s="37" t="inlineStr">
        <is>
          <t>Test</t>
        </is>
      </c>
      <c r="B5" s="37" t="inlineStr">
        <is>
          <t>Input hash/path</t>
        </is>
      </c>
      <c r="C5" s="37" t="inlineStr">
        <is>
          <t>Expected behaviour</t>
        </is>
      </c>
      <c r="D5" s="37" t="inlineStr">
        <is>
          <t>Actual result</t>
        </is>
      </c>
      <c r="E5" s="37" t="inlineStr">
        <is>
          <t>Result</t>
        </is>
      </c>
      <c r="F5" s="37" t="inlineStr">
        <is>
          <t>Evidence/log</t>
        </is>
      </c>
      <c r="G5" s="37" t="inlineStr">
        <is>
          <t>Score impact</t>
        </is>
      </c>
      <c r="H5" s="37" t="inlineStr">
        <is>
          <t>Evaluator</t>
        </is>
      </c>
    </row>
    <row r="6" ht="48" customHeight="1">
      <c r="A6" s="48" t="inlineStr">
        <is>
          <t>Hidden 1</t>
        </is>
      </c>
      <c r="B6" s="48" t="str"/>
      <c r="C6" s="48" t="str"/>
      <c r="D6" s="48" t="str"/>
      <c r="E6" s="48" t="str"/>
      <c r="F6" s="48" t="str"/>
      <c r="G6" s="48" t="str"/>
      <c r="H6" s="48" t="str"/>
    </row>
    <row r="7" ht="48" customHeight="1">
      <c r="A7" s="48" t="inlineStr">
        <is>
          <t>Hidden 2</t>
        </is>
      </c>
      <c r="B7" s="48" t="str"/>
      <c r="C7" s="48" t="str"/>
      <c r="D7" s="48" t="str"/>
      <c r="E7" s="48" t="str"/>
      <c r="F7" s="48" t="str"/>
      <c r="G7" s="48" t="str"/>
      <c r="H7" s="48" t="str"/>
    </row>
    <row r="8" ht="48" customHeight="1">
      <c r="A8" s="48" t="inlineStr">
        <is>
          <t>Hidden 3</t>
        </is>
      </c>
      <c r="B8" s="48" t="str"/>
      <c r="C8" s="48" t="str"/>
      <c r="D8" s="48" t="str"/>
      <c r="E8" s="48" t="str"/>
      <c r="F8" s="48" t="str"/>
      <c r="G8" s="48" t="str"/>
      <c r="H8" s="48" t="str"/>
    </row>
    <row r="10" ht="23" customHeight="1">
      <c r="A10" s="10" t="inlineStr">
        <is>
          <t>Bounded Code Change</t>
        </is>
      </c>
    </row>
    <row r="11" ht="43" customHeight="1">
      <c r="A11" s="14" t="inlineStr">
        <is>
          <t>Change request</t>
        </is>
      </c>
      <c r="B11" s="48" t="inlineStr">
        <is>
          <t>Add a new controlled attribute or provenance validation rule, update the schema and tests, then process one hidden specification.</t>
        </is>
      </c>
    </row>
    <row r="12" ht="43" customHeight="1">
      <c r="A12" s="14" t="inlineStr">
        <is>
          <t>Candidate prediction</t>
        </is>
      </c>
      <c r="B12" s="48" t="str"/>
    </row>
    <row r="13" ht="43" customHeight="1">
      <c r="A13" s="14" t="inlineStr">
        <is>
          <t>Files/functions changed</t>
        </is>
      </c>
      <c r="B13" s="48" t="str"/>
    </row>
    <row r="14" ht="43" customHeight="1">
      <c r="A14" s="14" t="inlineStr">
        <is>
          <t>Test added/updated</t>
        </is>
      </c>
      <c r="B14" s="48" t="str"/>
    </row>
    <row r="15" ht="43" customHeight="1">
      <c r="A15" s="14" t="inlineStr">
        <is>
          <t>Smallest affected test result</t>
        </is>
      </c>
      <c r="B15" s="48" t="str"/>
    </row>
    <row r="16" ht="43" customHeight="1">
      <c r="A16" s="14" t="inlineStr">
        <is>
          <t>Relevant end-to-end retest</t>
        </is>
      </c>
      <c r="B16" s="48" t="str"/>
    </row>
    <row r="17" ht="43" customHeight="1">
      <c r="A17" s="14" t="inlineStr">
        <is>
          <t>Diagnosis/ownership evidence</t>
        </is>
      </c>
      <c r="B17" s="48" t="str"/>
    </row>
    <row r="18" ht="43" customHeight="1">
      <c r="A18" s="14" t="inlineStr">
        <is>
          <t>Final result</t>
        </is>
      </c>
      <c r="B18" s="48" t="str"/>
    </row>
    <row r="20" ht="23" customHeight="1">
      <c r="A20" s="10" t="inlineStr">
        <is>
          <t>Ownership Questions and Session Notes</t>
        </is>
      </c>
    </row>
    <row r="21">
      <c r="A21" s="48" t="n"/>
      <c r="B21" s="73" t="n"/>
      <c r="C21" s="73" t="n"/>
      <c r="D21" s="73" t="n"/>
      <c r="E21" s="73" t="n"/>
      <c r="F21" s="73" t="n"/>
      <c r="G21" s="73" t="n"/>
      <c r="H21" s="74" t="n"/>
    </row>
    <row r="22">
      <c r="A22" s="78" t="n"/>
      <c r="H22" s="79" t="n"/>
    </row>
    <row r="23">
      <c r="A23" s="78" t="n"/>
      <c r="H23" s="79" t="n"/>
    </row>
    <row r="24">
      <c r="A24" s="78" t="n"/>
      <c r="H24" s="79" t="n"/>
    </row>
    <row r="25">
      <c r="A25" s="78" t="n"/>
      <c r="H25" s="79" t="n"/>
    </row>
    <row r="26">
      <c r="A26" s="78" t="n"/>
      <c r="H26" s="79" t="n"/>
    </row>
    <row r="27">
      <c r="A27" s="78" t="n"/>
      <c r="H27" s="79" t="n"/>
    </row>
    <row r="28">
      <c r="A28" s="75" t="n"/>
      <c r="B28" s="76" t="n"/>
      <c r="C28" s="76" t="n"/>
      <c r="D28" s="76" t="n"/>
      <c r="E28" s="76" t="n"/>
      <c r="F28" s="76" t="n"/>
      <c r="G28" s="76" t="n"/>
      <c r="H28" s="77" t="n"/>
    </row>
  </sheetData>
  <mergeCells count="6">
    <mergeCell ref="A4:H4"/>
    <mergeCell ref="A21:H28"/>
    <mergeCell ref="A20:H20"/>
    <mergeCell ref="A2:H2"/>
    <mergeCell ref="A10:H10"/>
    <mergeCell ref="A1:H1"/>
  </mergeCells>
  <dataValidations count="2">
    <dataValidation sqref="E6:E8" showDropDown="0" showInputMessage="0" showErrorMessage="0" allowBlank="0" type="list">
      <formula1>"Pass,Partial,Fail"</formula1>
    </dataValidation>
    <dataValidation sqref="B18" showDropDown="0" showInputMessage="0" showErrorMessage="0" allowBlank="0" type="list">
      <formula1>"Completed and retested,Partial,Not completed"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36"/>
  <sheetViews>
    <sheetView showGridLines="0" workbookViewId="0">
      <selection activeCell="A1" sqref="A1"/>
    </sheetView>
  </sheetViews>
  <sheetFormatPr baseColWidth="8" defaultRowHeight="15"/>
  <cols>
    <col width="18" customWidth="1" min="1" max="1"/>
    <col width="15" customWidth="1" min="2" max="2"/>
    <col width="16" customWidth="1" min="3" max="3"/>
    <col width="14" customWidth="1" min="4" max="4"/>
    <col width="14" customWidth="1" min="5" max="5"/>
    <col width="13" customWidth="1" min="6" max="6"/>
    <col width="14" customWidth="1" min="7" max="7"/>
    <col width="15" customWidth="1" min="8" max="8"/>
    <col width="18" customWidth="1" min="9" max="9"/>
    <col width="12" customWidth="1" min="10" max="10"/>
    <col width="15" customWidth="1" min="11" max="11"/>
    <col width="12" customWidth="1" min="12" max="12"/>
    <col width="21" customWidth="1" min="13" max="13"/>
    <col width="32" customWidth="1" min="14" max="14"/>
  </cols>
  <sheetData>
    <row r="1" ht="34" customHeight="1">
      <c r="A1" s="3" t="inlineStr">
        <is>
          <t>Track 02 | Batch Moderation</t>
        </is>
      </c>
    </row>
    <row r="2" ht="28" customHeight="1">
      <c r="A2" s="7" t="inlineStr">
        <is>
          <t>Rank within track, double-score likely selections/borderline cases, then cross-track moderate</t>
        </is>
      </c>
    </row>
    <row r="4">
      <c r="A4" s="37" t="inlineStr">
        <is>
          <t>Candidate ID</t>
        </is>
      </c>
      <c r="B4" s="37" t="inlineStr">
        <is>
          <t>Functional /25</t>
        </is>
      </c>
      <c r="C4" s="37" t="inlineStr">
        <is>
          <t>Engineering /25</t>
        </is>
      </c>
      <c r="D4" s="37" t="inlineStr">
        <is>
          <t>Testing /20</t>
        </is>
      </c>
      <c r="E4" s="37" t="inlineStr">
        <is>
          <t>Efficiency /10</t>
        </is>
      </c>
      <c r="F4" s="37" t="inlineStr">
        <is>
          <t>Live /20</t>
        </is>
      </c>
      <c r="G4" s="37" t="inlineStr">
        <is>
          <t>Total /100</t>
        </is>
      </c>
      <c r="H4" s="37" t="inlineStr">
        <is>
          <t>Eligibility</t>
        </is>
      </c>
      <c r="I4" s="37" t="inlineStr">
        <is>
          <t>Verified level</t>
        </is>
      </c>
      <c r="J4" s="37" t="inlineStr">
        <is>
          <t>Track rank</t>
        </is>
      </c>
      <c r="K4" s="37" t="inlineStr">
        <is>
          <t>2nd score total</t>
        </is>
      </c>
      <c r="L4" s="37" t="inlineStr">
        <is>
          <t>Difference</t>
        </is>
      </c>
      <c r="M4" s="37" t="inlineStr">
        <is>
          <t>Moderation status</t>
        </is>
      </c>
      <c r="N4" s="37" t="inlineStr">
        <is>
          <t>Decision / notes</t>
        </is>
      </c>
    </row>
    <row r="5" ht="30" customHeight="1">
      <c r="A5" s="48" t="str"/>
      <c r="B5" s="48" t="str"/>
      <c r="C5" s="48" t="str"/>
      <c r="D5" s="48" t="str"/>
      <c r="E5" s="48" t="str"/>
      <c r="F5" s="48" t="str"/>
      <c r="G5" s="59">
        <f>IF(B5="","",SUM(B5:F5))</f>
        <v/>
      </c>
      <c r="H5" s="48" t="str"/>
      <c r="I5" s="48" t="str"/>
      <c r="J5" s="59">
        <f>IF(G5="","",RANK.EQ(G5,$G$5:$G$29,0))</f>
        <v/>
      </c>
      <c r="K5" s="48" t="str"/>
      <c r="L5" s="59">
        <f>IF(OR(G5="",K5=""),"",ABS(G5-K5))</f>
        <v/>
      </c>
      <c r="M5" s="48" t="str"/>
      <c r="N5" s="48" t="str"/>
    </row>
    <row r="6" ht="30" customHeight="1">
      <c r="A6" s="48" t="str"/>
      <c r="B6" s="48" t="str"/>
      <c r="C6" s="48" t="str"/>
      <c r="D6" s="48" t="str"/>
      <c r="E6" s="48" t="str"/>
      <c r="F6" s="48" t="str"/>
      <c r="G6" s="59">
        <f>IF(B6="","",SUM(B6:F6))</f>
        <v/>
      </c>
      <c r="H6" s="48" t="str"/>
      <c r="I6" s="48" t="str"/>
      <c r="J6" s="59">
        <f>IF(G6="","",RANK.EQ(G6,$G$5:$G$29,0))</f>
        <v/>
      </c>
      <c r="K6" s="48" t="str"/>
      <c r="L6" s="59">
        <f>IF(OR(G6="",K6=""),"",ABS(G6-K6))</f>
        <v/>
      </c>
      <c r="M6" s="48" t="str"/>
      <c r="N6" s="48" t="str"/>
    </row>
    <row r="7" ht="30" customHeight="1">
      <c r="A7" s="48" t="str"/>
      <c r="B7" s="48" t="str"/>
      <c r="C7" s="48" t="str"/>
      <c r="D7" s="48" t="str"/>
      <c r="E7" s="48" t="str"/>
      <c r="F7" s="48" t="str"/>
      <c r="G7" s="59">
        <f>IF(B7="","",SUM(B7:F7))</f>
        <v/>
      </c>
      <c r="H7" s="48" t="str"/>
      <c r="I7" s="48" t="str"/>
      <c r="J7" s="59">
        <f>IF(G7="","",RANK.EQ(G7,$G$5:$G$29,0))</f>
        <v/>
      </c>
      <c r="K7" s="48" t="str"/>
      <c r="L7" s="59">
        <f>IF(OR(G7="",K7=""),"",ABS(G7-K7))</f>
        <v/>
      </c>
      <c r="M7" s="48" t="str"/>
      <c r="N7" s="48" t="str"/>
    </row>
    <row r="8" ht="30" customHeight="1">
      <c r="A8" s="48" t="str"/>
      <c r="B8" s="48" t="str"/>
      <c r="C8" s="48" t="str"/>
      <c r="D8" s="48" t="str"/>
      <c r="E8" s="48" t="str"/>
      <c r="F8" s="48" t="str"/>
      <c r="G8" s="59">
        <f>IF(B8="","",SUM(B8:F8))</f>
        <v/>
      </c>
      <c r="H8" s="48" t="str"/>
      <c r="I8" s="48" t="str"/>
      <c r="J8" s="59">
        <f>IF(G8="","",RANK.EQ(G8,$G$5:$G$29,0))</f>
        <v/>
      </c>
      <c r="K8" s="48" t="str"/>
      <c r="L8" s="59">
        <f>IF(OR(G8="",K8=""),"",ABS(G8-K8))</f>
        <v/>
      </c>
      <c r="M8" s="48" t="str"/>
      <c r="N8" s="48" t="str"/>
    </row>
    <row r="9" ht="30" customHeight="1">
      <c r="A9" s="48" t="str"/>
      <c r="B9" s="48" t="str"/>
      <c r="C9" s="48" t="str"/>
      <c r="D9" s="48" t="str"/>
      <c r="E9" s="48" t="str"/>
      <c r="F9" s="48" t="str"/>
      <c r="G9" s="59">
        <f>IF(B9="","",SUM(B9:F9))</f>
        <v/>
      </c>
      <c r="H9" s="48" t="str"/>
      <c r="I9" s="48" t="str"/>
      <c r="J9" s="59">
        <f>IF(G9="","",RANK.EQ(G9,$G$5:$G$29,0))</f>
        <v/>
      </c>
      <c r="K9" s="48" t="str"/>
      <c r="L9" s="59">
        <f>IF(OR(G9="",K9=""),"",ABS(G9-K9))</f>
        <v/>
      </c>
      <c r="M9" s="48" t="str"/>
      <c r="N9" s="48" t="str"/>
    </row>
    <row r="10" ht="30" customHeight="1">
      <c r="A10" s="48" t="str"/>
      <c r="B10" s="48" t="str"/>
      <c r="C10" s="48" t="str"/>
      <c r="D10" s="48" t="str"/>
      <c r="E10" s="48" t="str"/>
      <c r="F10" s="48" t="str"/>
      <c r="G10" s="59">
        <f>IF(B10="","",SUM(B10:F10))</f>
        <v/>
      </c>
      <c r="H10" s="48" t="str"/>
      <c r="I10" s="48" t="str"/>
      <c r="J10" s="59">
        <f>IF(G10="","",RANK.EQ(G10,$G$5:$G$29,0))</f>
        <v/>
      </c>
      <c r="K10" s="48" t="str"/>
      <c r="L10" s="59">
        <f>IF(OR(G10="",K10=""),"",ABS(G10-K10))</f>
        <v/>
      </c>
      <c r="M10" s="48" t="str"/>
      <c r="N10" s="48" t="str"/>
    </row>
    <row r="11" ht="30" customHeight="1">
      <c r="A11" s="48" t="str"/>
      <c r="B11" s="48" t="str"/>
      <c r="C11" s="48" t="str"/>
      <c r="D11" s="48" t="str"/>
      <c r="E11" s="48" t="str"/>
      <c r="F11" s="48" t="str"/>
      <c r="G11" s="59">
        <f>IF(B11="","",SUM(B11:F11))</f>
        <v/>
      </c>
      <c r="H11" s="48" t="str"/>
      <c r="I11" s="48" t="str"/>
      <c r="J11" s="59">
        <f>IF(G11="","",RANK.EQ(G11,$G$5:$G$29,0))</f>
        <v/>
      </c>
      <c r="K11" s="48" t="str"/>
      <c r="L11" s="59">
        <f>IF(OR(G11="",K11=""),"",ABS(G11-K11))</f>
        <v/>
      </c>
      <c r="M11" s="48" t="str"/>
      <c r="N11" s="48" t="str"/>
    </row>
    <row r="12" ht="30" customHeight="1">
      <c r="A12" s="48" t="str"/>
      <c r="B12" s="48" t="str"/>
      <c r="C12" s="48" t="str"/>
      <c r="D12" s="48" t="str"/>
      <c r="E12" s="48" t="str"/>
      <c r="F12" s="48" t="str"/>
      <c r="G12" s="59">
        <f>IF(B12="","",SUM(B12:F12))</f>
        <v/>
      </c>
      <c r="H12" s="48" t="str"/>
      <c r="I12" s="48" t="str"/>
      <c r="J12" s="59">
        <f>IF(G12="","",RANK.EQ(G12,$G$5:$G$29,0))</f>
        <v/>
      </c>
      <c r="K12" s="48" t="str"/>
      <c r="L12" s="59">
        <f>IF(OR(G12="",K12=""),"",ABS(G12-K12))</f>
        <v/>
      </c>
      <c r="M12" s="48" t="str"/>
      <c r="N12" s="48" t="str"/>
    </row>
    <row r="13" ht="30" customHeight="1">
      <c r="A13" s="48" t="str"/>
      <c r="B13" s="48" t="str"/>
      <c r="C13" s="48" t="str"/>
      <c r="D13" s="48" t="str"/>
      <c r="E13" s="48" t="str"/>
      <c r="F13" s="48" t="str"/>
      <c r="G13" s="59">
        <f>IF(B13="","",SUM(B13:F13))</f>
        <v/>
      </c>
      <c r="H13" s="48" t="str"/>
      <c r="I13" s="48" t="str"/>
      <c r="J13" s="59">
        <f>IF(G13="","",RANK.EQ(G13,$G$5:$G$29,0))</f>
        <v/>
      </c>
      <c r="K13" s="48" t="str"/>
      <c r="L13" s="59">
        <f>IF(OR(G13="",K13=""),"",ABS(G13-K13))</f>
        <v/>
      </c>
      <c r="M13" s="48" t="str"/>
      <c r="N13" s="48" t="str"/>
    </row>
    <row r="14" ht="30" customHeight="1">
      <c r="A14" s="48" t="str"/>
      <c r="B14" s="48" t="str"/>
      <c r="C14" s="48" t="str"/>
      <c r="D14" s="48" t="str"/>
      <c r="E14" s="48" t="str"/>
      <c r="F14" s="48" t="str"/>
      <c r="G14" s="59">
        <f>IF(B14="","",SUM(B14:F14))</f>
        <v/>
      </c>
      <c r="H14" s="48" t="str"/>
      <c r="I14" s="48" t="str"/>
      <c r="J14" s="59">
        <f>IF(G14="","",RANK.EQ(G14,$G$5:$G$29,0))</f>
        <v/>
      </c>
      <c r="K14" s="48" t="str"/>
      <c r="L14" s="59">
        <f>IF(OR(G14="",K14=""),"",ABS(G14-K14))</f>
        <v/>
      </c>
      <c r="M14" s="48" t="str"/>
      <c r="N14" s="48" t="str"/>
    </row>
    <row r="15" ht="30" customHeight="1">
      <c r="A15" s="48" t="str"/>
      <c r="B15" s="48" t="str"/>
      <c r="C15" s="48" t="str"/>
      <c r="D15" s="48" t="str"/>
      <c r="E15" s="48" t="str"/>
      <c r="F15" s="48" t="str"/>
      <c r="G15" s="59">
        <f>IF(B15="","",SUM(B15:F15))</f>
        <v/>
      </c>
      <c r="H15" s="48" t="str"/>
      <c r="I15" s="48" t="str"/>
      <c r="J15" s="59">
        <f>IF(G15="","",RANK.EQ(G15,$G$5:$G$29,0))</f>
        <v/>
      </c>
      <c r="K15" s="48" t="str"/>
      <c r="L15" s="59">
        <f>IF(OR(G15="",K15=""),"",ABS(G15-K15))</f>
        <v/>
      </c>
      <c r="M15" s="48" t="str"/>
      <c r="N15" s="48" t="str"/>
    </row>
    <row r="16" ht="30" customHeight="1">
      <c r="A16" s="48" t="str"/>
      <c r="B16" s="48" t="str"/>
      <c r="C16" s="48" t="str"/>
      <c r="D16" s="48" t="str"/>
      <c r="E16" s="48" t="str"/>
      <c r="F16" s="48" t="str"/>
      <c r="G16" s="59">
        <f>IF(B16="","",SUM(B16:F16))</f>
        <v/>
      </c>
      <c r="H16" s="48" t="str"/>
      <c r="I16" s="48" t="str"/>
      <c r="J16" s="59">
        <f>IF(G16="","",RANK.EQ(G16,$G$5:$G$29,0))</f>
        <v/>
      </c>
      <c r="K16" s="48" t="str"/>
      <c r="L16" s="59">
        <f>IF(OR(G16="",K16=""),"",ABS(G16-K16))</f>
        <v/>
      </c>
      <c r="M16" s="48" t="str"/>
      <c r="N16" s="48" t="str"/>
    </row>
    <row r="17" ht="30" customHeight="1">
      <c r="A17" s="48" t="str"/>
      <c r="B17" s="48" t="str"/>
      <c r="C17" s="48" t="str"/>
      <c r="D17" s="48" t="str"/>
      <c r="E17" s="48" t="str"/>
      <c r="F17" s="48" t="str"/>
      <c r="G17" s="59">
        <f>IF(B17="","",SUM(B17:F17))</f>
        <v/>
      </c>
      <c r="H17" s="48" t="str"/>
      <c r="I17" s="48" t="str"/>
      <c r="J17" s="59">
        <f>IF(G17="","",RANK.EQ(G17,$G$5:$G$29,0))</f>
        <v/>
      </c>
      <c r="K17" s="48" t="str"/>
      <c r="L17" s="59">
        <f>IF(OR(G17="",K17=""),"",ABS(G17-K17))</f>
        <v/>
      </c>
      <c r="M17" s="48" t="str"/>
      <c r="N17" s="48" t="str"/>
    </row>
    <row r="18" ht="30" customHeight="1">
      <c r="A18" s="48" t="str"/>
      <c r="B18" s="48" t="str"/>
      <c r="C18" s="48" t="str"/>
      <c r="D18" s="48" t="str"/>
      <c r="E18" s="48" t="str"/>
      <c r="F18" s="48" t="str"/>
      <c r="G18" s="59">
        <f>IF(B18="","",SUM(B18:F18))</f>
        <v/>
      </c>
      <c r="H18" s="48" t="str"/>
      <c r="I18" s="48" t="str"/>
      <c r="J18" s="59">
        <f>IF(G18="","",RANK.EQ(G18,$G$5:$G$29,0))</f>
        <v/>
      </c>
      <c r="K18" s="48" t="str"/>
      <c r="L18" s="59">
        <f>IF(OR(G18="",K18=""),"",ABS(G18-K18))</f>
        <v/>
      </c>
      <c r="M18" s="48" t="str"/>
      <c r="N18" s="48" t="str"/>
    </row>
    <row r="19" ht="30" customHeight="1">
      <c r="A19" s="48" t="str"/>
      <c r="B19" s="48" t="str"/>
      <c r="C19" s="48" t="str"/>
      <c r="D19" s="48" t="str"/>
      <c r="E19" s="48" t="str"/>
      <c r="F19" s="48" t="str"/>
      <c r="G19" s="59">
        <f>IF(B19="","",SUM(B19:F19))</f>
        <v/>
      </c>
      <c r="H19" s="48" t="str"/>
      <c r="I19" s="48" t="str"/>
      <c r="J19" s="59">
        <f>IF(G19="","",RANK.EQ(G19,$G$5:$G$29,0))</f>
        <v/>
      </c>
      <c r="K19" s="48" t="str"/>
      <c r="L19" s="59">
        <f>IF(OR(G19="",K19=""),"",ABS(G19-K19))</f>
        <v/>
      </c>
      <c r="M19" s="48" t="str"/>
      <c r="N19" s="48" t="str"/>
    </row>
    <row r="20" ht="30" customHeight="1">
      <c r="A20" s="48" t="str"/>
      <c r="B20" s="48" t="str"/>
      <c r="C20" s="48" t="str"/>
      <c r="D20" s="48" t="str"/>
      <c r="E20" s="48" t="str"/>
      <c r="F20" s="48" t="str"/>
      <c r="G20" s="59">
        <f>IF(B20="","",SUM(B20:F20))</f>
        <v/>
      </c>
      <c r="H20" s="48" t="str"/>
      <c r="I20" s="48" t="str"/>
      <c r="J20" s="59">
        <f>IF(G20="","",RANK.EQ(G20,$G$5:$G$29,0))</f>
        <v/>
      </c>
      <c r="K20" s="48" t="str"/>
      <c r="L20" s="59">
        <f>IF(OR(G20="",K20=""),"",ABS(G20-K20))</f>
        <v/>
      </c>
      <c r="M20" s="48" t="str"/>
      <c r="N20" s="48" t="str"/>
    </row>
    <row r="21" ht="30" customHeight="1">
      <c r="A21" s="48" t="str"/>
      <c r="B21" s="48" t="str"/>
      <c r="C21" s="48" t="str"/>
      <c r="D21" s="48" t="str"/>
      <c r="E21" s="48" t="str"/>
      <c r="F21" s="48" t="str"/>
      <c r="G21" s="59">
        <f>IF(B21="","",SUM(B21:F21))</f>
        <v/>
      </c>
      <c r="H21" s="48" t="str"/>
      <c r="I21" s="48" t="str"/>
      <c r="J21" s="59">
        <f>IF(G21="","",RANK.EQ(G21,$G$5:$G$29,0))</f>
        <v/>
      </c>
      <c r="K21" s="48" t="str"/>
      <c r="L21" s="59">
        <f>IF(OR(G21="",K21=""),"",ABS(G21-K21))</f>
        <v/>
      </c>
      <c r="M21" s="48" t="str"/>
      <c r="N21" s="48" t="str"/>
    </row>
    <row r="22" ht="30" customHeight="1">
      <c r="A22" s="48" t="str"/>
      <c r="B22" s="48" t="str"/>
      <c r="C22" s="48" t="str"/>
      <c r="D22" s="48" t="str"/>
      <c r="E22" s="48" t="str"/>
      <c r="F22" s="48" t="str"/>
      <c r="G22" s="59">
        <f>IF(B22="","",SUM(B22:F22))</f>
        <v/>
      </c>
      <c r="H22" s="48" t="str"/>
      <c r="I22" s="48" t="str"/>
      <c r="J22" s="59">
        <f>IF(G22="","",RANK.EQ(G22,$G$5:$G$29,0))</f>
        <v/>
      </c>
      <c r="K22" s="48" t="str"/>
      <c r="L22" s="59">
        <f>IF(OR(G22="",K22=""),"",ABS(G22-K22))</f>
        <v/>
      </c>
      <c r="M22" s="48" t="str"/>
      <c r="N22" s="48" t="str"/>
    </row>
    <row r="23" ht="30" customHeight="1">
      <c r="A23" s="48" t="str"/>
      <c r="B23" s="48" t="str"/>
      <c r="C23" s="48" t="str"/>
      <c r="D23" s="48" t="str"/>
      <c r="E23" s="48" t="str"/>
      <c r="F23" s="48" t="str"/>
      <c r="G23" s="59">
        <f>IF(B23="","",SUM(B23:F23))</f>
        <v/>
      </c>
      <c r="H23" s="48" t="str"/>
      <c r="I23" s="48" t="str"/>
      <c r="J23" s="59">
        <f>IF(G23="","",RANK.EQ(G23,$G$5:$G$29,0))</f>
        <v/>
      </c>
      <c r="K23" s="48" t="str"/>
      <c r="L23" s="59">
        <f>IF(OR(G23="",K23=""),"",ABS(G23-K23))</f>
        <v/>
      </c>
      <c r="M23" s="48" t="str"/>
      <c r="N23" s="48" t="str"/>
    </row>
    <row r="24" ht="30" customHeight="1">
      <c r="A24" s="48" t="str"/>
      <c r="B24" s="48" t="str"/>
      <c r="C24" s="48" t="str"/>
      <c r="D24" s="48" t="str"/>
      <c r="E24" s="48" t="str"/>
      <c r="F24" s="48" t="str"/>
      <c r="G24" s="59">
        <f>IF(B24="","",SUM(B24:F24))</f>
        <v/>
      </c>
      <c r="H24" s="48" t="str"/>
      <c r="I24" s="48" t="str"/>
      <c r="J24" s="59">
        <f>IF(G24="","",RANK.EQ(G24,$G$5:$G$29,0))</f>
        <v/>
      </c>
      <c r="K24" s="48" t="str"/>
      <c r="L24" s="59">
        <f>IF(OR(G24="",K24=""),"",ABS(G24-K24))</f>
        <v/>
      </c>
      <c r="M24" s="48" t="str"/>
      <c r="N24" s="48" t="str"/>
    </row>
    <row r="25" ht="30" customHeight="1">
      <c r="A25" s="48" t="str"/>
      <c r="B25" s="48" t="str"/>
      <c r="C25" s="48" t="str"/>
      <c r="D25" s="48" t="str"/>
      <c r="E25" s="48" t="str"/>
      <c r="F25" s="48" t="str"/>
      <c r="G25" s="59">
        <f>IF(B25="","",SUM(B25:F25))</f>
        <v/>
      </c>
      <c r="H25" s="48" t="str"/>
      <c r="I25" s="48" t="str"/>
      <c r="J25" s="59">
        <f>IF(G25="","",RANK.EQ(G25,$G$5:$G$29,0))</f>
        <v/>
      </c>
      <c r="K25" s="48" t="str"/>
      <c r="L25" s="59">
        <f>IF(OR(G25="",K25=""),"",ABS(G25-K25))</f>
        <v/>
      </c>
      <c r="M25" s="48" t="str"/>
      <c r="N25" s="48" t="str"/>
    </row>
    <row r="26" ht="30" customHeight="1">
      <c r="A26" s="48" t="str"/>
      <c r="B26" s="48" t="str"/>
      <c r="C26" s="48" t="str"/>
      <c r="D26" s="48" t="str"/>
      <c r="E26" s="48" t="str"/>
      <c r="F26" s="48" t="str"/>
      <c r="G26" s="59">
        <f>IF(B26="","",SUM(B26:F26))</f>
        <v/>
      </c>
      <c r="H26" s="48" t="str"/>
      <c r="I26" s="48" t="str"/>
      <c r="J26" s="59">
        <f>IF(G26="","",RANK.EQ(G26,$G$5:$G$29,0))</f>
        <v/>
      </c>
      <c r="K26" s="48" t="str"/>
      <c r="L26" s="59">
        <f>IF(OR(G26="",K26=""),"",ABS(G26-K26))</f>
        <v/>
      </c>
      <c r="M26" s="48" t="str"/>
      <c r="N26" s="48" t="str"/>
    </row>
    <row r="27" ht="30" customHeight="1">
      <c r="A27" s="48" t="str"/>
      <c r="B27" s="48" t="str"/>
      <c r="C27" s="48" t="str"/>
      <c r="D27" s="48" t="str"/>
      <c r="E27" s="48" t="str"/>
      <c r="F27" s="48" t="str"/>
      <c r="G27" s="59">
        <f>IF(B27="","",SUM(B27:F27))</f>
        <v/>
      </c>
      <c r="H27" s="48" t="str"/>
      <c r="I27" s="48" t="str"/>
      <c r="J27" s="59">
        <f>IF(G27="","",RANK.EQ(G27,$G$5:$G$29,0))</f>
        <v/>
      </c>
      <c r="K27" s="48" t="str"/>
      <c r="L27" s="59">
        <f>IF(OR(G27="",K27=""),"",ABS(G27-K27))</f>
        <v/>
      </c>
      <c r="M27" s="48" t="str"/>
      <c r="N27" s="48" t="str"/>
    </row>
    <row r="28" ht="30" customHeight="1">
      <c r="A28" s="48" t="str"/>
      <c r="B28" s="48" t="str"/>
      <c r="C28" s="48" t="str"/>
      <c r="D28" s="48" t="str"/>
      <c r="E28" s="48" t="str"/>
      <c r="F28" s="48" t="str"/>
      <c r="G28" s="59">
        <f>IF(B28="","",SUM(B28:F28))</f>
        <v/>
      </c>
      <c r="H28" s="48" t="str"/>
      <c r="I28" s="48" t="str"/>
      <c r="J28" s="59">
        <f>IF(G28="","",RANK.EQ(G28,$G$5:$G$29,0))</f>
        <v/>
      </c>
      <c r="K28" s="48" t="str"/>
      <c r="L28" s="59">
        <f>IF(OR(G28="",K28=""),"",ABS(G28-K28))</f>
        <v/>
      </c>
      <c r="M28" s="48" t="str"/>
      <c r="N28" s="48" t="str"/>
    </row>
    <row r="29" ht="30" customHeight="1">
      <c r="A29" s="48" t="str"/>
      <c r="B29" s="48" t="str"/>
      <c r="C29" s="48" t="str"/>
      <c r="D29" s="48" t="str"/>
      <c r="E29" s="48" t="str"/>
      <c r="F29" s="48" t="str"/>
      <c r="G29" s="59">
        <f>IF(B29="","",SUM(B29:F29))</f>
        <v/>
      </c>
      <c r="H29" s="48" t="str"/>
      <c r="I29" s="48" t="str"/>
      <c r="J29" s="59">
        <f>IF(G29="","",RANK.EQ(G29,$G$5:$G$29,0))</f>
        <v/>
      </c>
      <c r="K29" s="48" t="str"/>
      <c r="L29" s="59">
        <f>IF(OR(G29="",K29=""),"",ABS(G29-K29))</f>
        <v/>
      </c>
      <c r="M29" s="48" t="str"/>
      <c r="N29" s="48" t="str"/>
    </row>
    <row r="31" ht="23" customHeight="1">
      <c r="A31" s="10" t="inlineStr">
        <is>
          <t>Moderation Controls</t>
        </is>
      </c>
    </row>
    <row r="32">
      <c r="A32" s="37" t="inlineStr">
        <is>
          <t>Control</t>
        </is>
      </c>
      <c r="B32" s="37" t="inlineStr">
        <is>
          <t>Required action</t>
        </is>
      </c>
      <c r="C32" s="70" t="n"/>
      <c r="D32" s="70" t="n"/>
      <c r="E32" s="70" t="n"/>
      <c r="F32" s="70" t="n"/>
      <c r="G32" s="70" t="n"/>
      <c r="H32" s="70" t="n"/>
      <c r="I32" s="70" t="n"/>
      <c r="J32" s="70" t="n"/>
      <c r="K32" s="70" t="n"/>
      <c r="L32" s="70" t="n"/>
      <c r="M32" s="70" t="n"/>
      <c r="N32" s="71" t="n"/>
    </row>
    <row r="33" ht="34" customHeight="1">
      <c r="A33" s="69" t="inlineStr">
        <is>
          <t>Anchor calibration</t>
        </is>
      </c>
      <c r="B33" s="34" t="inlineStr">
        <is>
          <t>Two anchor submissions scored before final marking</t>
        </is>
      </c>
      <c r="C33" s="70" t="n"/>
      <c r="D33" s="70" t="n"/>
      <c r="E33" s="70" t="n"/>
      <c r="F33" s="70" t="n"/>
      <c r="G33" s="70" t="n"/>
      <c r="H33" s="70" t="n"/>
      <c r="I33" s="70" t="n"/>
      <c r="J33" s="70" t="n"/>
      <c r="K33" s="70" t="n"/>
      <c r="L33" s="70" t="n"/>
      <c r="M33" s="70" t="n"/>
      <c r="N33" s="71" t="n"/>
    </row>
    <row r="34" ht="34" customHeight="1">
      <c r="A34" s="69" t="inlineStr">
        <is>
          <t>Double scoring</t>
        </is>
      </c>
      <c r="B34" s="34" t="inlineStr">
        <is>
          <t>All likely selections, within 5 of cutoff, &gt;5 disagreement, and at least 20% of track</t>
        </is>
      </c>
      <c r="C34" s="70" t="n"/>
      <c r="D34" s="70" t="n"/>
      <c r="E34" s="70" t="n"/>
      <c r="F34" s="70" t="n"/>
      <c r="G34" s="70" t="n"/>
      <c r="H34" s="70" t="n"/>
      <c r="I34" s="70" t="n"/>
      <c r="J34" s="70" t="n"/>
      <c r="K34" s="70" t="n"/>
      <c r="L34" s="70" t="n"/>
      <c r="M34" s="70" t="n"/>
      <c r="N34" s="71" t="n"/>
    </row>
    <row r="35" ht="34" customHeight="1">
      <c r="A35" s="69" t="inlineStr">
        <is>
          <t>Cross-track moderation</t>
        </is>
      </c>
      <c r="B35" s="34" t="inlineStr">
        <is>
          <t>Compare difficulty and evaluator severity after ranking within track</t>
        </is>
      </c>
      <c r="C35" s="70" t="n"/>
      <c r="D35" s="70" t="n"/>
      <c r="E35" s="70" t="n"/>
      <c r="F35" s="70" t="n"/>
      <c r="G35" s="70" t="n"/>
      <c r="H35" s="70" t="n"/>
      <c r="I35" s="70" t="n"/>
      <c r="J35" s="70" t="n"/>
      <c r="K35" s="70" t="n"/>
      <c r="L35" s="70" t="n"/>
      <c r="M35" s="70" t="n"/>
      <c r="N35" s="71" t="n"/>
    </row>
    <row r="36" ht="34" customHeight="1">
      <c r="A36" s="69" t="inlineStr">
        <is>
          <t>Tie-break order</t>
        </is>
      </c>
      <c r="B36" s="34" t="inlineStr">
        <is>
          <t>Live ownership, engineering, testing, functional quality, efficiency/licensing/product</t>
        </is>
      </c>
      <c r="C36" s="70" t="n"/>
      <c r="D36" s="70" t="n"/>
      <c r="E36" s="70" t="n"/>
      <c r="F36" s="70" t="n"/>
      <c r="G36" s="70" t="n"/>
      <c r="H36" s="70" t="n"/>
      <c r="I36" s="70" t="n"/>
      <c r="J36" s="70" t="n"/>
      <c r="K36" s="70" t="n"/>
      <c r="L36" s="70" t="n"/>
      <c r="M36" s="70" t="n"/>
      <c r="N36" s="71" t="n"/>
    </row>
  </sheetData>
  <mergeCells count="8">
    <mergeCell ref="B36:N36"/>
    <mergeCell ref="A31:N31"/>
    <mergeCell ref="B32:N32"/>
    <mergeCell ref="B35:N35"/>
    <mergeCell ref="A2:N2"/>
    <mergeCell ref="B33:N33"/>
    <mergeCell ref="B34:N34"/>
    <mergeCell ref="A1:N1"/>
  </mergeCells>
  <dataValidations count="3">
    <dataValidation sqref="H5:H29" showDropDown="0" showInputMessage="0" showErrorMessage="0" allowBlank="0" type="list">
      <formula1>"ELIGIBLE,INELIGIBLE,PENDING"</formula1>
    </dataValidation>
    <dataValidation sqref="I5:I29" showDropDown="0" showInputMessage="0" showErrorMessage="0" allowBlank="0" type="list">
      <formula1>"BELOW BASELINE,BASELINE,STRONG,EXCEPTIONAL"</formula1>
    </dataValidation>
    <dataValidation sqref="M5:M29" showDropDown="0" showInputMessage="0" showErrorMessage="0" allowBlank="0" type="list">
      <formula1>"Not required,Required,Completed,Disagreement review"</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2026-09-11T16:28:47Z</dcterms:created>
  <dcterms:modified xsi:type="dcterms:W3CDTF">2026-09-11T16:28:47Z</dcterms:modified>
</cp:coreProperties>
</file>